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评估报告·结论" sheetId="1" state="visible" r:id="rId3"/>
    <sheet name="年度数据" sheetId="2" state="visible" r:id="rId4"/>
    <sheet name="关键点位" sheetId="3" state="visible" r:id="rId5"/>
    <sheet name="真相分解" sheetId="4" state="visible" r:id="rId6"/>
    <sheet name="公平对比方法清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<sst xmlns="http://schemas.openxmlformats.org/spreadsheetml/2006/main" count="111" uniqueCount="101">
  <si>
    <r>
      <rPr>
        <b val="true"/>
        <sz val="15"/>
        <color rgb="FF1F3864"/>
        <rFont val="Noto Sans CJK SC"/>
        <family val="2"/>
      </rPr>
      <t xml:space="preserve">上证指数 </t>
    </r>
    <r>
      <rPr>
        <b val="true"/>
        <sz val="15"/>
        <color rgb="FF1F3864"/>
        <rFont val="Arial"/>
        <family val="0"/>
        <charset val="1"/>
      </rPr>
      <t xml:space="preserve">1990–2026 </t>
    </r>
    <r>
      <rPr>
        <b val="true"/>
        <sz val="15"/>
        <color rgb="FF1F3864"/>
        <rFont val="Noto Sans CJK SC"/>
        <family val="2"/>
      </rPr>
      <t xml:space="preserve">评估报告：用连续复利看清“−</t>
    </r>
    <r>
      <rPr>
        <b val="true"/>
        <sz val="15"/>
        <color rgb="FF1F3864"/>
        <rFont val="Arial"/>
        <family val="0"/>
        <charset val="1"/>
      </rPr>
      <t xml:space="preserve">35%”</t>
    </r>
    <r>
      <rPr>
        <b val="true"/>
        <sz val="15"/>
        <color rgb="FF1F3864"/>
        <rFont val="Noto Sans CJK SC"/>
        <family val="2"/>
      </rPr>
      <t xml:space="preserve">的真相</t>
    </r>
  </si>
  <si>
    <r>
      <rPr>
        <i val="true"/>
        <sz val="9"/>
        <color rgb="FF595959"/>
        <rFont val="Noto Sans CJK SC"/>
        <family val="2"/>
      </rPr>
      <t xml:space="preserve">方法：年化连续复利 </t>
    </r>
    <r>
      <rPr>
        <i val="true"/>
        <sz val="9"/>
        <color rgb="FF595959"/>
        <rFont val="Arial"/>
        <family val="0"/>
        <charset val="1"/>
      </rPr>
      <t xml:space="preserve">r = (1/n)·ln(S_T/S_0)</t>
    </r>
    <r>
      <rPr>
        <i val="true"/>
        <sz val="9"/>
        <color rgb="FF595959"/>
        <rFont val="Noto Sans CJK SC"/>
        <family val="2"/>
      </rPr>
      <t xml:space="preserve">，终点统一取 </t>
    </r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月约 </t>
    </r>
    <r>
      <rPr>
        <i val="true"/>
        <sz val="9"/>
        <color rgb="FF595959"/>
        <rFont val="Arial"/>
        <family val="0"/>
        <charset val="1"/>
      </rPr>
      <t xml:space="preserve">4100 </t>
    </r>
    <r>
      <rPr>
        <i val="true"/>
        <sz val="9"/>
        <color rgb="FF595959"/>
        <rFont val="Noto Sans CJK SC"/>
        <family val="2"/>
      </rPr>
      <t xml:space="preserve">点。所有口径见后续各表，数字可在表中自行修改联动。</t>
    </r>
  </si>
  <si>
    <t xml:space="preserve">一、核心结论</t>
  </si>
  <si>
    <r>
      <rPr>
        <sz val="10"/>
        <color rgb="FF000000"/>
        <rFont val="Noto Sans CJK SC"/>
        <family val="2"/>
      </rPr>
      <t xml:space="preserve">网传“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至今 −</t>
    </r>
    <r>
      <rPr>
        <sz val="10"/>
        <color rgb="FF000000"/>
        <rFont val="Arial"/>
        <family val="0"/>
        <charset val="1"/>
      </rPr>
      <t xml:space="preserve">35%”</t>
    </r>
    <r>
      <rPr>
        <sz val="10"/>
        <color rgb="FF000000"/>
        <rFont val="Noto Sans CJK SC"/>
        <family val="2"/>
      </rPr>
      <t xml:space="preserve">是真数据，但它是把起点钉在上证有史以来最贵的一天（</t>
    </r>
    <r>
      <rPr>
        <sz val="10"/>
        <color rgb="FF000000"/>
        <rFont val="Arial"/>
        <family val="0"/>
        <charset val="1"/>
      </rPr>
      <t xml:space="preserve">2007.10.16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6124</t>
    </r>
    <r>
      <rPr>
        <sz val="10"/>
        <color rgb="FF000000"/>
        <rFont val="Noto Sans CJK SC"/>
        <family val="2"/>
      </rPr>
      <t xml:space="preserve">点，市盈率约</t>
    </r>
    <r>
      <rPr>
        <sz val="10"/>
        <color rgb="FF000000"/>
        <rFont val="Arial"/>
        <family val="0"/>
        <charset val="1"/>
      </rPr>
      <t xml:space="preserve">50–70</t>
    </r>
    <r>
      <rPr>
        <sz val="10"/>
        <color rgb="FF000000"/>
        <rFont val="Noto Sans CJK SC"/>
        <family val="2"/>
      </rPr>
      <t xml:space="preserve">倍）的结果。换任何一个非泡沫起点，结论全部反转为正。</t>
    </r>
  </si>
  <si>
    <t xml:space="preserve">二、基期决定一切（见“年度数据”表）</t>
  </si>
  <si>
    <r>
      <rPr>
        <sz val="10"/>
        <color rgb="FF000000"/>
        <rFont val="Noto Sans CJK SC"/>
        <family val="2"/>
      </rPr>
      <t xml:space="preserve">终点同为</t>
    </r>
    <r>
      <rPr>
        <sz val="10"/>
        <color rgb="FF000000"/>
        <rFont val="Arial"/>
        <family val="0"/>
        <charset val="1"/>
      </rPr>
      <t xml:space="preserve">4100</t>
    </r>
    <r>
      <rPr>
        <sz val="10"/>
        <color rgb="FF000000"/>
        <rFont val="Noto Sans CJK SC"/>
        <family val="2"/>
      </rPr>
      <t xml:space="preserve">点，只换起点：从</t>
    </r>
    <r>
      <rPr>
        <sz val="10"/>
        <color rgb="FF000000"/>
        <rFont val="Arial"/>
        <family val="0"/>
        <charset val="1"/>
      </rPr>
      <t xml:space="preserve">1990</t>
    </r>
    <r>
      <rPr>
        <sz val="10"/>
        <color rgb="FF000000"/>
        <rFont val="Noto Sans CJK SC"/>
        <family val="2"/>
      </rPr>
      <t xml:space="preserve">上市算 年化≈</t>
    </r>
    <r>
      <rPr>
        <sz val="10"/>
        <color rgb="FF000000"/>
        <rFont val="Arial"/>
        <family val="0"/>
        <charset val="1"/>
      </rPr>
      <t xml:space="preserve">+9.8%</t>
    </r>
    <r>
      <rPr>
        <sz val="10"/>
        <color rgb="FF000000"/>
        <rFont val="Noto Sans CJK SC"/>
        <family val="2"/>
      </rPr>
      <t xml:space="preserve">；从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CJK SC"/>
        <family val="2"/>
      </rPr>
      <t xml:space="preserve">千点底算≈</t>
    </r>
    <r>
      <rPr>
        <sz val="10"/>
        <color rgb="FF000000"/>
        <rFont val="Arial"/>
        <family val="0"/>
        <charset val="1"/>
      </rPr>
      <t xml:space="preserve">+6.7%</t>
    </r>
    <r>
      <rPr>
        <sz val="10"/>
        <color rgb="FF000000"/>
        <rFont val="Noto Sans CJK SC"/>
        <family val="2"/>
      </rPr>
      <t xml:space="preserve">；从</t>
    </r>
    <r>
      <rPr>
        <sz val="10"/>
        <color rgb="FF000000"/>
        <rFont val="Arial"/>
        <family val="0"/>
        <charset val="1"/>
      </rPr>
      <t xml:space="preserve">2008</t>
    </r>
    <r>
      <rPr>
        <sz val="10"/>
        <color rgb="FF000000"/>
        <rFont val="Noto Sans CJK SC"/>
        <family val="2"/>
      </rPr>
      <t xml:space="preserve">危机底算≈</t>
    </r>
    <r>
      <rPr>
        <sz val="10"/>
        <color rgb="FF000000"/>
        <rFont val="Arial"/>
        <family val="0"/>
        <charset val="1"/>
      </rPr>
      <t xml:space="preserve">+4.5%</t>
    </r>
    <r>
      <rPr>
        <sz val="10"/>
        <color rgb="FF000000"/>
        <rFont val="Noto Sans CJK SC"/>
        <family val="2"/>
      </rPr>
      <t xml:space="preserve">；从</t>
    </r>
    <r>
      <rPr>
        <sz val="10"/>
        <color rgb="FF000000"/>
        <rFont val="Arial"/>
        <family val="0"/>
        <charset val="1"/>
      </rPr>
      <t xml:space="preserve">2018</t>
    </r>
    <r>
      <rPr>
        <sz val="10"/>
        <color rgb="FF000000"/>
        <rFont val="Noto Sans CJK SC"/>
        <family val="2"/>
      </rPr>
      <t xml:space="preserve">算≈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。在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个年末起点中，绝大多数为正，仅</t>
    </r>
    <r>
      <rPr>
        <sz val="10"/>
        <color rgb="FF000000"/>
        <rFont val="Arial"/>
        <family val="0"/>
        <charset val="1"/>
      </rPr>
      <t xml:space="preserve">2000/2007/2015</t>
    </r>
    <r>
      <rPr>
        <sz val="10"/>
        <color rgb="FF000000"/>
        <rFont val="Noto Sans CJK SC"/>
        <family val="2"/>
      </rPr>
      <t xml:space="preserve">三个泡沫顶附近为负。所谓“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年不涨”是只取最差起点的错觉。</t>
    </r>
  </si>
  <si>
    <r>
      <rPr>
        <b val="true"/>
        <sz val="11"/>
        <color rgb="FF1F3864"/>
        <rFont val="Noto Sans CJK SC"/>
        <family val="2"/>
      </rPr>
      <t xml:space="preserve">三、−</t>
    </r>
    <r>
      <rPr>
        <b val="true"/>
        <sz val="11"/>
        <color rgb="FF1F3864"/>
        <rFont val="Arial"/>
        <family val="0"/>
        <charset val="1"/>
      </rPr>
      <t xml:space="preserve">35%</t>
    </r>
    <r>
      <rPr>
        <b val="true"/>
        <sz val="11"/>
        <color rgb="FF1F3864"/>
        <rFont val="Noto Sans CJK SC"/>
        <family val="2"/>
      </rPr>
      <t xml:space="preserve">几乎全是“估值泡沫破灭”，不是企业不赚钱（见“真相分解”表）</t>
    </r>
  </si>
  <si>
    <r>
      <rPr>
        <sz val="10"/>
        <color rgb="FF000000"/>
        <rFont val="Noto Sans CJK SC"/>
        <family val="2"/>
      </rPr>
      <t xml:space="preserve">把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顶→今拆开：上市公司每股盈利年化约</t>
    </r>
    <r>
      <rPr>
        <sz val="10"/>
        <color rgb="FF000000"/>
        <rFont val="Arial"/>
        <family val="0"/>
        <charset val="1"/>
      </rPr>
      <t xml:space="preserve">+4.7%</t>
    </r>
    <r>
      <rPr>
        <sz val="10"/>
        <color rgb="FF000000"/>
        <rFont val="Noto Sans CJK SC"/>
        <family val="2"/>
      </rPr>
      <t xml:space="preserve">（企业实打实在成长），但市盈率从约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倍压缩到约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倍，年化−</t>
    </r>
    <r>
      <rPr>
        <sz val="10"/>
        <color rgb="FF000000"/>
        <rFont val="Arial"/>
        <family val="0"/>
        <charset val="1"/>
      </rPr>
      <t xml:space="preserve">6.8%</t>
    </r>
    <r>
      <rPr>
        <sz val="10"/>
        <color rgb="FF000000"/>
        <rFont val="Noto Sans CJK SC"/>
        <family val="2"/>
      </rPr>
      <t xml:space="preserve">（泡沫回归），两者相抵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价格年化约−</t>
    </r>
    <r>
      <rPr>
        <sz val="10"/>
        <color rgb="FF000000"/>
        <rFont val="Arial"/>
        <family val="0"/>
        <charset val="1"/>
      </rPr>
      <t xml:space="preserve">2.2%</t>
    </r>
    <r>
      <rPr>
        <sz val="10"/>
        <color rgb="FF000000"/>
        <rFont val="Noto Sans CJK SC"/>
        <family val="2"/>
      </rPr>
      <t xml:space="preserve">。再加上每年约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的分红，含分红总回报年化≈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、约等于打平。换言之，−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的锅几乎全在“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年买得太贵”，而非“公司没成长”。</t>
    </r>
  </si>
  <si>
    <t xml:space="preserve">四、经济和股权财富都涨了几十倍，只是没体现在“指数点位”上（见“真相分解”表）</t>
  </si>
  <si>
    <r>
      <rPr>
        <sz val="10"/>
        <color rgb="FF000000"/>
        <rFont val="Arial"/>
        <family val="0"/>
        <charset val="1"/>
      </rPr>
      <t xml:space="preserve">1990→2025</t>
    </r>
    <r>
      <rPr>
        <sz val="10"/>
        <color rgb="FF000000"/>
        <rFont val="Noto Sans CJK SC"/>
        <family val="2"/>
      </rPr>
      <t xml:space="preserve">：名义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×74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股总市值从不足百亿到约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万亿（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上万倍），上市公司从约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家增至约</t>
    </r>
    <r>
      <rPr>
        <sz val="10"/>
        <color rgb="FF000000"/>
        <rFont val="Arial"/>
        <family val="0"/>
        <charset val="1"/>
      </rPr>
      <t xml:space="preserve">5400</t>
    </r>
    <r>
      <rPr>
        <sz val="10"/>
        <color rgb="FF000000"/>
        <rFont val="Noto Sans CJK SC"/>
        <family val="2"/>
      </rPr>
      <t xml:space="preserve">家。中国经济的股权价值增长，主要体现为“上市公司数量与总市值的扩张”，而上证综指是价格指数、且长期受新股高价纳入等编制问题拖累，因此严重低估了整体股权财富的增长。</t>
    </r>
  </si>
  <si>
    <t xml:space="preserve">五、价格指数低估真实回报（见“真相分解”表）</t>
  </si>
  <si>
    <r>
      <rPr>
        <sz val="10"/>
        <color rgb="FF000000"/>
        <rFont val="Noto Sans CJK SC"/>
        <family val="2"/>
      </rPr>
      <t xml:space="preserve">上证综指不含分红。若用含分红的全收益口径，长期年化要再加约</t>
    </r>
    <r>
      <rPr>
        <sz val="10"/>
        <color rgb="FF000000"/>
        <rFont val="Arial"/>
        <family val="0"/>
        <charset val="1"/>
      </rPr>
      <t xml:space="preserve">+2%</t>
    </r>
    <r>
      <rPr>
        <sz val="10"/>
        <color rgb="FF000000"/>
        <rFont val="Noto Sans CJK SC"/>
        <family val="2"/>
      </rPr>
      <t xml:space="preserve">。同理，网传图里德国</t>
    </r>
    <r>
      <rPr>
        <sz val="10"/>
        <color rgb="FF000000"/>
        <rFont val="Arial"/>
        <family val="0"/>
        <charset val="1"/>
      </rPr>
      <t xml:space="preserve">DAX</t>
    </r>
    <r>
      <rPr>
        <sz val="10"/>
        <color rgb="FF000000"/>
        <rFont val="Noto Sans CJK SC"/>
        <family val="2"/>
      </rPr>
      <t xml:space="preserve">恰恰是“含分红”的全收益指数，拿它和上证“价格指数”比，本就不公平。</t>
    </r>
  </si>
  <si>
    <t xml:space="preserve">六、综合评估</t>
  </si>
  <si>
    <r>
      <rPr>
        <sz val="10"/>
        <color rgb="FF000000"/>
        <rFont val="Noto Sans CJK SC"/>
        <family val="2"/>
      </rPr>
      <t xml:space="preserve">客观看：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股长期年化（全程约</t>
    </r>
    <r>
      <rPr>
        <sz val="10"/>
        <color rgb="FF000000"/>
        <rFont val="Arial"/>
        <family val="0"/>
        <charset val="1"/>
      </rPr>
      <t xml:space="preserve">+10%</t>
    </r>
    <r>
      <rPr>
        <sz val="10"/>
        <color rgb="FF000000"/>
        <rFont val="Noto Sans CJK SC"/>
        <family val="2"/>
      </rPr>
      <t xml:space="preserve">、含分红更高）并不差，与名义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</rPr>
      <t xml:space="preserve">增速大体匹配；但“牛短熊长、暴涨暴跌、扩容稀释、对散户体验差”是真实且值得正视的问题。把这两面都讲清楚，才叫合理评估——既不能用挑过角度的真数据当结论，也不必否认存在的问题。</t>
    </r>
  </si>
  <si>
    <r>
      <rPr>
        <sz val="9"/>
        <color rgb="FF595959"/>
        <rFont val="Noto Sans CJK SC"/>
        <family val="2"/>
      </rPr>
      <t xml:space="preserve">数据说明：年末收盘为公开历史数据；关键点位为确认的盘中高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低点；</t>
    </r>
    <r>
      <rPr>
        <sz val="9"/>
        <color rgb="FF595959"/>
        <rFont val="Arial"/>
        <family val="0"/>
        <charset val="1"/>
      </rPr>
      <t xml:space="preserve">GDP/</t>
    </r>
    <r>
      <rPr>
        <sz val="9"/>
        <color rgb="FF595959"/>
        <rFont val="Noto Sans CJK SC"/>
        <family val="2"/>
      </rPr>
      <t xml:space="preserve">市值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公司数为公开统计的近似值，精确到表中标注口径。市盈率为示意区间，可在“真相分解”表自行调整。</t>
    </r>
  </si>
  <si>
    <r>
      <rPr>
        <b val="true"/>
        <sz val="15"/>
        <color rgb="FF1F3864"/>
        <rFont val="Noto Sans CJK SC"/>
        <family val="2"/>
      </rPr>
      <t xml:space="preserve">上证综指 年末收盘 </t>
    </r>
    <r>
      <rPr>
        <b val="true"/>
        <sz val="15"/>
        <color rgb="FF1F3864"/>
        <rFont val="Arial"/>
        <family val="0"/>
        <charset val="1"/>
      </rPr>
      <t xml:space="preserve">+ </t>
    </r>
    <r>
      <rPr>
        <b val="true"/>
        <sz val="15"/>
        <color rgb="FF1F3864"/>
        <rFont val="Noto Sans CJK SC"/>
        <family val="2"/>
      </rPr>
      <t xml:space="preserve">连续复利分析（</t>
    </r>
    <r>
      <rPr>
        <b val="true"/>
        <sz val="15"/>
        <color rgb="FF1F3864"/>
        <rFont val="Arial"/>
        <family val="0"/>
        <charset val="1"/>
      </rPr>
      <t xml:space="preserve">1990–2026</t>
    </r>
    <r>
      <rPr>
        <b val="true"/>
        <sz val="15"/>
        <color rgb="FF1F3864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</si>
  <si>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“距今”各列：以该年末为起点 </t>
    </r>
    <r>
      <rPr>
        <i val="true"/>
        <sz val="9"/>
        <color rgb="FF595959"/>
        <rFont val="Arial"/>
        <family val="0"/>
        <charset val="1"/>
      </rPr>
      <t xml:space="preserve">S_0</t>
    </r>
    <r>
      <rPr>
        <i val="true"/>
        <sz val="9"/>
        <color rgb="FF595959"/>
        <rFont val="Noto Sans CJK SC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4100</t>
    </r>
    <r>
      <rPr>
        <i val="true"/>
        <sz val="9"/>
        <color rgb="FF595959"/>
        <rFont val="Noto Sans CJK SC"/>
        <family val="2"/>
      </rPr>
      <t xml:space="preserve">点为终点 </t>
    </r>
    <r>
      <rPr>
        <i val="true"/>
        <sz val="9"/>
        <color rgb="FF595959"/>
        <rFont val="Arial"/>
        <family val="0"/>
        <charset val="1"/>
      </rPr>
      <t xml:space="preserve">S_T</t>
    </r>
    <r>
      <rPr>
        <i val="true"/>
        <sz val="9"/>
        <color rgb="FF595959"/>
        <rFont val="Noto Sans CJK SC"/>
        <family val="2"/>
      </rPr>
      <t xml:space="preserve">。年化连续复利 </t>
    </r>
    <r>
      <rPr>
        <i val="true"/>
        <sz val="9"/>
        <color rgb="FF595959"/>
        <rFont val="Arial"/>
        <family val="0"/>
        <charset val="1"/>
      </rPr>
      <t xml:space="preserve">= ln(S_T/S_0)/n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</si>
  <si>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终点点位</t>
  </si>
  <si>
    <t xml:space="preserve">终点年份</t>
  </si>
  <si>
    <t xml:space="preserve">年份</t>
  </si>
  <si>
    <t xml:space="preserve">小数年份</t>
  </si>
  <si>
    <t xml:space="preserve">年末收盘</t>
  </si>
  <si>
    <t xml:space="preserve">当年涨跌</t>
  </si>
  <si>
    <r>
      <rPr>
        <b val="true"/>
        <sz val="10"/>
        <color rgb="FFFFFFFF"/>
        <rFont val="Noto Sans CJK SC"/>
        <family val="2"/>
      </rPr>
      <t xml:space="preserve">距今 </t>
    </r>
    <r>
      <rPr>
        <b val="true"/>
        <sz val="10"/>
        <color rgb="FFFFFFFF"/>
        <rFont val="Arial"/>
        <family val="0"/>
        <charset val="1"/>
      </rPr>
      <t xml:space="preserve">n</t>
    </r>
  </si>
  <si>
    <t xml:space="preserve">距今累计</t>
  </si>
  <si>
    <r>
      <rPr>
        <b val="true"/>
        <sz val="10"/>
        <color rgb="FFFFFFFF"/>
        <rFont val="Noto Sans CJK SC"/>
        <family val="2"/>
      </rPr>
      <t xml:space="preserve">距今年化</t>
    </r>
    <r>
      <rPr>
        <b val="true"/>
        <sz val="10"/>
        <color rgb="FFFFFFFF"/>
        <rFont val="Arial"/>
        <family val="0"/>
        <charset val="1"/>
      </rPr>
      <t xml:space="preserve">cc</t>
    </r>
  </si>
  <si>
    <r>
      <rPr>
        <sz val="9"/>
        <color rgb="FF595959"/>
        <rFont val="Noto Sans CJK SC"/>
        <family val="2"/>
      </rPr>
      <t xml:space="preserve">绿底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典型“好起点”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上市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千点底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危机底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今日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；红底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泡沫顶</t>
    </r>
    <r>
      <rPr>
        <sz val="9"/>
        <color rgb="FF595959"/>
        <rFont val="Arial"/>
        <family val="0"/>
        <charset val="1"/>
      </rPr>
      <t xml:space="preserve">(2007/2015)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</si>
  <si>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看“距今年化</t>
    </r>
    <r>
      <rPr>
        <sz val="9"/>
        <color rgb="FF595959"/>
        <rFont val="Arial"/>
        <family val="0"/>
        <charset val="1"/>
      </rPr>
      <t xml:space="preserve">cc”</t>
    </r>
    <r>
      <rPr>
        <sz val="9"/>
        <color rgb="FF595959"/>
        <rFont val="Noto Sans CJK SC"/>
        <family val="2"/>
      </rPr>
      <t xml:space="preserve">一列：除</t>
    </r>
    <r>
      <rPr>
        <sz val="9"/>
        <color rgb="FF595959"/>
        <rFont val="Arial"/>
        <family val="0"/>
        <charset val="1"/>
      </rPr>
      <t xml:space="preserve">2000/2007/2015</t>
    </r>
    <r>
      <rPr>
        <sz val="9"/>
        <color rgb="FF595959"/>
        <rFont val="Noto Sans CJK SC"/>
        <family val="2"/>
      </rPr>
      <t xml:space="preserve">三个泡沫顶附近，几乎全为正——这才是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股长期收益的真实分布。</t>
    </r>
  </si>
  <si>
    <r>
      <rPr>
        <b val="true"/>
        <sz val="15"/>
        <color rgb="FF1F3864"/>
        <rFont val="Noto Sans CJK SC"/>
        <family val="2"/>
      </rPr>
      <t xml:space="preserve">历史关键点位（牛顶 </t>
    </r>
    <r>
      <rPr>
        <b val="true"/>
        <sz val="15"/>
        <color rgb="FF1F3864"/>
        <rFont val="Arial"/>
        <family val="0"/>
        <charset val="1"/>
      </rPr>
      <t xml:space="preserve">/ </t>
    </r>
    <r>
      <rPr>
        <b val="true"/>
        <sz val="15"/>
        <color rgb="FF1F3864"/>
        <rFont val="Noto Sans CJK SC"/>
        <family val="2"/>
      </rPr>
      <t xml:space="preserve">熊底）</t>
    </r>
    <r>
      <rPr>
        <b val="true"/>
        <sz val="15"/>
        <color rgb="FF1F3864"/>
        <rFont val="Arial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到今天的连续复利</t>
    </r>
  </si>
  <si>
    <r>
      <rPr>
        <i val="true"/>
        <sz val="9"/>
        <color rgb="FF595959"/>
        <rFont val="Noto Sans CJK SC"/>
        <family val="2"/>
      </rPr>
      <t xml:space="preserve">终点</t>
    </r>
    <r>
      <rPr>
        <i val="true"/>
        <sz val="9"/>
        <color rgb="FF595959"/>
        <rFont val="Arial"/>
        <family val="0"/>
        <charset val="1"/>
      </rPr>
      <t xml:space="preserve">=4100</t>
    </r>
    <r>
      <rPr>
        <i val="true"/>
        <sz val="9"/>
        <color rgb="FF595959"/>
        <rFont val="Noto Sans CJK SC"/>
        <family val="2"/>
      </rPr>
      <t xml:space="preserve">点</t>
    </r>
    <r>
      <rPr>
        <i val="true"/>
        <sz val="9"/>
        <color rgb="FF595959"/>
        <rFont val="Arial"/>
        <family val="0"/>
        <charset val="1"/>
      </rPr>
      <t xml:space="preserve">(2026.41)</t>
    </r>
    <r>
      <rPr>
        <i val="true"/>
        <sz val="9"/>
        <color rgb="FF595959"/>
        <rFont val="Noto Sans CJK SC"/>
        <family val="2"/>
      </rPr>
      <t xml:space="preserve">。同样用 </t>
    </r>
    <r>
      <rPr>
        <i val="true"/>
        <sz val="9"/>
        <color rgb="FF595959"/>
        <rFont val="Arial"/>
        <family val="0"/>
        <charset val="1"/>
      </rPr>
      <t xml:space="preserve">r=(1/n)ln(S_T/S_0)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</si>
  <si>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关键点位</t>
  </si>
  <si>
    <r>
      <rPr>
        <b val="true"/>
        <sz val="10"/>
        <color rgb="FFFFFFFF"/>
        <rFont val="Noto Sans CJK SC"/>
        <family val="2"/>
      </rPr>
      <t xml:space="preserve">日期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小数年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</si>
  <si>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点位</t>
  </si>
  <si>
    <r>
      <rPr>
        <b val="true"/>
        <sz val="10"/>
        <color rgb="FFFFFFFF"/>
        <rFont val="Noto Sans CJK SC"/>
        <family val="2"/>
      </rPr>
      <t xml:space="preserve">距今</t>
    </r>
    <r>
      <rPr>
        <b val="true"/>
        <sz val="10"/>
        <color rgb="FFFFFFFF"/>
        <rFont val="Arial"/>
        <family val="0"/>
        <charset val="1"/>
      </rPr>
      <t xml:space="preserve">n</t>
    </r>
  </si>
  <si>
    <t xml:space="preserve">性质</t>
  </si>
  <si>
    <t xml:space="preserve">上市基日</t>
  </si>
  <si>
    <t xml:space="preserve">起点</t>
  </si>
  <si>
    <t xml:space="preserve">首轮牛顶</t>
  </si>
  <si>
    <t xml:space="preserve">牛顶</t>
  </si>
  <si>
    <r>
      <rPr>
        <sz val="10"/>
        <color rgb="FF000000"/>
        <rFont val="Arial"/>
        <family val="0"/>
        <charset val="1"/>
      </rPr>
      <t xml:space="preserve">1994</t>
    </r>
    <r>
      <rPr>
        <sz val="10"/>
        <color rgb="FF000000"/>
        <rFont val="Noto Sans CJK SC"/>
        <family val="2"/>
      </rPr>
      <t xml:space="preserve">熊底</t>
    </r>
  </si>
  <si>
    <t xml:space="preserve">熊底</t>
  </si>
  <si>
    <r>
      <rPr>
        <sz val="10"/>
        <color rgb="FF000000"/>
        <rFont val="Arial"/>
        <family val="0"/>
        <charset val="1"/>
      </rPr>
      <t xml:space="preserve">2001</t>
    </r>
    <r>
      <rPr>
        <sz val="10"/>
        <color rgb="FF000000"/>
        <rFont val="Noto Sans CJK SC"/>
        <family val="2"/>
      </rPr>
      <t xml:space="preserve">牛顶</t>
    </r>
  </si>
  <si>
    <t xml:space="preserve">千点底</t>
  </si>
  <si>
    <t xml:space="preserve">熊底★黄金起点</t>
  </si>
  <si>
    <t xml:space="preserve">历史大顶</t>
  </si>
  <si>
    <t xml:space="preserve">牛顶★泡沫</t>
  </si>
  <si>
    <t xml:space="preserve">金融危机底</t>
  </si>
  <si>
    <t xml:space="preserve">四万亿反弹高</t>
  </si>
  <si>
    <t xml:space="preserve">反弹高</t>
  </si>
  <si>
    <r>
      <rPr>
        <sz val="10"/>
        <color rgb="FF000000"/>
        <rFont val="Arial"/>
        <family val="0"/>
        <charset val="1"/>
      </rPr>
      <t xml:space="preserve">1849</t>
    </r>
    <r>
      <rPr>
        <sz val="10"/>
        <color rgb="FF000000"/>
        <rFont val="Noto Sans CJK SC"/>
        <family val="2"/>
      </rPr>
      <t xml:space="preserve">底</t>
    </r>
  </si>
  <si>
    <t xml:space="preserve">杠杆牛顶</t>
  </si>
  <si>
    <t xml:space="preserve">熔断底</t>
  </si>
  <si>
    <r>
      <rPr>
        <sz val="10"/>
        <color rgb="FF000000"/>
        <rFont val="Arial"/>
        <family val="0"/>
        <charset val="1"/>
      </rPr>
      <t xml:space="preserve">2019</t>
    </r>
    <r>
      <rPr>
        <sz val="10"/>
        <color rgb="FF000000"/>
        <rFont val="Noto Sans CJK SC"/>
        <family val="2"/>
      </rPr>
      <t xml:space="preserve">底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</si>
  <si>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年内低</t>
    </r>
  </si>
  <si>
    <t xml:space="preserve">当前</t>
  </si>
  <si>
    <t xml:space="preserve">现值</t>
  </si>
  <si>
    <r>
      <rPr>
        <sz val="9"/>
        <color rgb="FF595959"/>
        <rFont val="Noto Sans CJK SC"/>
        <family val="2"/>
      </rPr>
      <t xml:space="preserve">读法：买在“千点底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危机底”这类黄金起点，到今天年化</t>
    </r>
    <r>
      <rPr>
        <sz val="9"/>
        <color rgb="FF595959"/>
        <rFont val="Arial"/>
        <family val="0"/>
        <charset val="1"/>
      </rPr>
      <t xml:space="preserve">6–7%</t>
    </r>
    <r>
      <rPr>
        <sz val="9"/>
        <color rgb="FF595959"/>
        <rFont val="Noto Sans CJK SC"/>
        <family val="2"/>
      </rPr>
      <t xml:space="preserve">；买在“泡沫顶”则要忍受年化−</t>
    </r>
    <r>
      <rPr>
        <sz val="9"/>
        <color rgb="FF595959"/>
        <rFont val="Arial"/>
        <family val="0"/>
        <charset val="1"/>
      </rPr>
      <t xml:space="preserve">2%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</si>
  <si>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同一个市场、同一个今天，结果天差地别——差别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来自“你从哪天开始算”。</t>
    </r>
  </si>
  <si>
    <r>
      <rPr>
        <b val="true"/>
        <sz val="15"/>
        <color rgb="FF1F3864"/>
        <rFont val="Noto Sans CJK SC"/>
        <family val="2"/>
      </rPr>
      <t xml:space="preserve">真相分解：盈利 </t>
    </r>
    <r>
      <rPr>
        <b val="true"/>
        <sz val="15"/>
        <color rgb="FF1F3864"/>
        <rFont val="Arial"/>
        <family val="0"/>
        <charset val="1"/>
      </rPr>
      <t xml:space="preserve">vs </t>
    </r>
    <r>
      <rPr>
        <b val="true"/>
        <sz val="15"/>
        <color rgb="FF1F3864"/>
        <rFont val="Noto Sans CJK SC"/>
        <family val="2"/>
      </rPr>
      <t xml:space="preserve">估值 </t>
    </r>
    <r>
      <rPr>
        <b val="true"/>
        <sz val="15"/>
        <color rgb="FF1F3864"/>
        <rFont val="Arial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经济 </t>
    </r>
    <r>
      <rPr>
        <b val="true"/>
        <sz val="15"/>
        <color rgb="FF1F3864"/>
        <rFont val="Arial"/>
        <family val="0"/>
        <charset val="1"/>
      </rPr>
      <t xml:space="preserve">vs </t>
    </r>
    <r>
      <rPr>
        <b val="true"/>
        <sz val="15"/>
        <color rgb="FF1F3864"/>
        <rFont val="Noto Sans CJK SC"/>
        <family val="2"/>
      </rPr>
      <t xml:space="preserve">指数 </t>
    </r>
    <r>
      <rPr>
        <b val="true"/>
        <sz val="15"/>
        <color rgb="FF1F3864"/>
        <rFont val="Arial"/>
        <family val="0"/>
        <charset val="1"/>
      </rPr>
      <t xml:space="preserve">vs </t>
    </r>
    <r>
      <rPr>
        <b val="true"/>
        <sz val="15"/>
        <color rgb="FF1F3864"/>
        <rFont val="Noto Sans CJK SC"/>
        <family val="2"/>
      </rPr>
      <t xml:space="preserve">市值</t>
    </r>
  </si>
  <si>
    <r>
      <rPr>
        <b val="true"/>
        <sz val="11"/>
        <color rgb="FF1F3864"/>
        <rFont val="Noto Sans CJK SC"/>
        <family val="2"/>
      </rPr>
      <t xml:space="preserve">① 把“</t>
    </r>
    <r>
      <rPr>
        <b val="true"/>
        <sz val="11"/>
        <color rgb="FF1F3864"/>
        <rFont val="Arial"/>
        <family val="0"/>
        <charset val="1"/>
      </rPr>
      <t xml:space="preserve">2007</t>
    </r>
    <r>
      <rPr>
        <b val="true"/>
        <sz val="11"/>
        <color rgb="FF1F3864"/>
        <rFont val="Noto Sans CJK SC"/>
        <family val="2"/>
      </rPr>
      <t xml:space="preserve">顶→今”的指数变化拆开（蓝色可改）</t>
    </r>
  </si>
  <si>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顶 指数</t>
    </r>
  </si>
  <si>
    <t xml:space="preserve">今 指数</t>
  </si>
  <si>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顶 市盈率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</si>
  <si>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今 市盈率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</si>
  <si>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区间年数 </t>
    </r>
    <r>
      <rPr>
        <sz val="10"/>
        <color rgb="FF000000"/>
        <rFont val="Arial"/>
        <family val="0"/>
        <charset val="1"/>
      </rPr>
      <t xml:space="preserve">n</t>
    </r>
  </si>
  <si>
    <t xml:space="preserve">年均股息率</t>
  </si>
  <si>
    <r>
      <rPr>
        <sz val="10"/>
        <color rgb="FF000000"/>
        <rFont val="Noto Sans CJK SC"/>
        <family val="2"/>
      </rPr>
      <t xml:space="preserve">隐含盈利倍数 </t>
    </r>
    <r>
      <rPr>
        <sz val="10"/>
        <color rgb="FF000000"/>
        <rFont val="Arial"/>
        <family val="0"/>
        <charset val="1"/>
      </rPr>
      <t xml:space="preserve">E_</t>
    </r>
    <r>
      <rPr>
        <sz val="10"/>
        <color rgb="FF000000"/>
        <rFont val="Noto Sans CJK SC"/>
        <family val="2"/>
      </rPr>
      <t xml:space="preserve">今</t>
    </r>
    <r>
      <rPr>
        <sz val="10"/>
        <color rgb="FF000000"/>
        <rFont val="Arial"/>
        <family val="0"/>
        <charset val="1"/>
      </rPr>
      <t xml:space="preserve">/E_07</t>
    </r>
  </si>
  <si>
    <r>
      <rPr>
        <sz val="10"/>
        <color rgb="FF000000"/>
        <rFont val="Noto Sans CJK SC"/>
        <family val="2"/>
      </rPr>
      <t xml:space="preserve">盈利增长 年化</t>
    </r>
    <r>
      <rPr>
        <sz val="10"/>
        <color rgb="FF000000"/>
        <rFont val="Arial"/>
        <family val="0"/>
        <charset val="1"/>
      </rPr>
      <t xml:space="preserve">cc</t>
    </r>
  </si>
  <si>
    <r>
      <rPr>
        <sz val="10"/>
        <color rgb="FF000000"/>
        <rFont val="Noto Sans CJK SC"/>
        <family val="2"/>
      </rPr>
      <t xml:space="preserve">估值变化 年化</t>
    </r>
    <r>
      <rPr>
        <sz val="10"/>
        <color rgb="FF000000"/>
        <rFont val="Arial"/>
        <family val="0"/>
        <charset val="1"/>
      </rPr>
      <t xml:space="preserve">cc</t>
    </r>
  </si>
  <si>
    <t xml:space="preserve">分红贡献 年化</t>
  </si>
  <si>
    <r>
      <rPr>
        <sz val="10"/>
        <color rgb="FF000000"/>
        <rFont val="Noto Sans CJK SC"/>
        <family val="2"/>
      </rPr>
      <t xml:space="preserve">→ 价格指数 年化</t>
    </r>
    <r>
      <rPr>
        <sz val="10"/>
        <color rgb="FF000000"/>
        <rFont val="Arial"/>
        <family val="0"/>
        <charset val="1"/>
      </rPr>
      <t xml:space="preserve">cc(≈</t>
    </r>
    <r>
      <rPr>
        <sz val="10"/>
        <color rgb="FF000000"/>
        <rFont val="Noto Sans CJK SC"/>
        <family val="2"/>
      </rPr>
      <t xml:space="preserve">实际</t>
    </r>
    <r>
      <rPr>
        <sz val="10"/>
        <color rgb="FF000000"/>
        <rFont val="Arial"/>
        <family val="0"/>
        <charset val="1"/>
      </rPr>
      <t xml:space="preserve">)</t>
    </r>
  </si>
  <si>
    <t xml:space="preserve">→ 含分红总回报 年化</t>
  </si>
  <si>
    <r>
      <rPr>
        <sz val="9"/>
        <color rgb="FF595959"/>
        <rFont val="Noto Sans CJK SC"/>
        <family val="2"/>
      </rPr>
      <t xml:space="preserve">结论：企业盈利年化约</t>
    </r>
    <r>
      <rPr>
        <sz val="9"/>
        <color rgb="FF595959"/>
        <rFont val="Arial"/>
        <family val="0"/>
        <charset val="1"/>
      </rPr>
      <t xml:space="preserve">+4.7%</t>
    </r>
    <r>
      <rPr>
        <sz val="9"/>
        <color rgb="FF595959"/>
        <rFont val="Noto Sans CJK SC"/>
        <family val="2"/>
      </rPr>
      <t xml:space="preserve">（真在成长），估值年化约−</t>
    </r>
    <r>
      <rPr>
        <sz val="9"/>
        <color rgb="FF595959"/>
        <rFont val="Arial"/>
        <family val="0"/>
        <charset val="1"/>
      </rPr>
      <t xml:space="preserve">6.8%</t>
    </r>
    <r>
      <rPr>
        <sz val="9"/>
        <color rgb="FF595959"/>
        <rFont val="Noto Sans CJK SC"/>
        <family val="2"/>
      </rPr>
      <t xml:space="preserve">（泡沫回归），相抵后价格≈−</t>
    </r>
    <r>
      <rPr>
        <sz val="9"/>
        <color rgb="FF595959"/>
        <rFont val="Arial"/>
        <family val="0"/>
        <charset val="1"/>
      </rPr>
      <t xml:space="preserve">2.2%/</t>
    </r>
    <r>
      <rPr>
        <sz val="9"/>
        <color rgb="FF595959"/>
        <rFont val="Noto Sans CJK SC"/>
        <family val="2"/>
      </rPr>
      <t xml:space="preserve">年；加分红后≈打平。“−</t>
    </r>
    <r>
      <rPr>
        <sz val="9"/>
        <color rgb="FF595959"/>
        <rFont val="Arial"/>
        <family val="0"/>
        <charset val="1"/>
      </rPr>
      <t xml:space="preserve">35%”≈“2007</t>
    </r>
    <r>
      <rPr>
        <sz val="9"/>
        <color rgb="FF595959"/>
        <rFont val="Noto Sans CJK SC"/>
        <family val="2"/>
      </rPr>
      <t xml:space="preserve">买太贵”，不是公司不赚钱。</t>
    </r>
  </si>
  <si>
    <r>
      <rPr>
        <b val="true"/>
        <sz val="11"/>
        <color rgb="FF1F3864"/>
        <rFont val="Noto Sans CJK SC"/>
        <family val="2"/>
      </rPr>
      <t xml:space="preserve">② 经济 </t>
    </r>
    <r>
      <rPr>
        <b val="true"/>
        <sz val="11"/>
        <color rgb="FF1F3864"/>
        <rFont val="Arial"/>
        <family val="0"/>
        <charset val="1"/>
      </rPr>
      <t xml:space="preserve">/ </t>
    </r>
    <r>
      <rPr>
        <b val="true"/>
        <sz val="11"/>
        <color rgb="FF1F3864"/>
        <rFont val="Noto Sans CJK SC"/>
        <family val="2"/>
      </rPr>
      <t xml:space="preserve">指数 </t>
    </r>
    <r>
      <rPr>
        <b val="true"/>
        <sz val="11"/>
        <color rgb="FF1F3864"/>
        <rFont val="Arial"/>
        <family val="0"/>
        <charset val="1"/>
      </rPr>
      <t xml:space="preserve">/ </t>
    </r>
    <r>
      <rPr>
        <b val="true"/>
        <sz val="11"/>
        <color rgb="FF1F3864"/>
        <rFont val="Noto Sans CJK SC"/>
        <family val="2"/>
      </rPr>
      <t xml:space="preserve">总市值 </t>
    </r>
    <r>
      <rPr>
        <b val="true"/>
        <sz val="11"/>
        <color rgb="FF1F3864"/>
        <rFont val="Arial"/>
        <family val="0"/>
        <charset val="1"/>
      </rPr>
      <t xml:space="preserve">/ </t>
    </r>
    <r>
      <rPr>
        <b val="true"/>
        <sz val="11"/>
        <color rgb="FF1F3864"/>
        <rFont val="Noto Sans CJK SC"/>
        <family val="2"/>
      </rPr>
      <t xml:space="preserve">公司数（</t>
    </r>
    <r>
      <rPr>
        <b val="true"/>
        <sz val="11"/>
        <color rgb="FF1F3864"/>
        <rFont val="Arial"/>
        <family val="0"/>
        <charset val="1"/>
      </rPr>
      <t xml:space="preserve">1990 → 2025</t>
    </r>
    <r>
      <rPr>
        <b val="true"/>
        <sz val="11"/>
        <color rgb="FF1F3864"/>
        <rFont val="Noto Sans CJK SC"/>
        <family val="2"/>
      </rPr>
      <t xml:space="preserve">，近似值）</t>
    </r>
  </si>
  <si>
    <t xml:space="preserve">指标</t>
  </si>
  <si>
    <t xml:space="preserve">1990</t>
  </si>
  <si>
    <t xml:space="preserve">2025</t>
  </si>
  <si>
    <t xml:space="preserve">倍数</t>
  </si>
  <si>
    <r>
      <rPr>
        <b val="true"/>
        <sz val="10"/>
        <color rgb="FFFFFFFF"/>
        <rFont val="Noto Sans CJK SC"/>
        <family val="2"/>
      </rPr>
      <t xml:space="preserve">年化</t>
    </r>
    <r>
      <rPr>
        <b val="true"/>
        <sz val="10"/>
        <color rgb="FFFFFFFF"/>
        <rFont val="Arial"/>
        <family val="0"/>
        <charset val="1"/>
      </rPr>
      <t xml:space="preserve">cc(35</t>
    </r>
    <r>
      <rPr>
        <b val="true"/>
        <sz val="10"/>
        <color rgb="FFFFFFFF"/>
        <rFont val="Noto Sans CJK SC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</si>
  <si>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名义</t>
    </r>
    <r>
      <rPr>
        <sz val="10"/>
        <color rgb="FF000000"/>
        <rFont val="Arial"/>
        <family val="0"/>
        <charset val="1"/>
      </rPr>
      <t xml:space="preserve">GDP (</t>
    </r>
    <r>
      <rPr>
        <sz val="10"/>
        <color rgb="FF000000"/>
        <rFont val="Noto Sans CJK SC"/>
        <family val="2"/>
      </rPr>
      <t xml:space="preserve">万亿元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</si>
  <si>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上证综指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</si>
  <si>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股总市值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万亿元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</si>
  <si>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上市公司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家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</si>
  <si>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真相：经济</t>
    </r>
    <r>
      <rPr>
        <sz val="9"/>
        <color rgb="FF595959"/>
        <rFont val="Arial"/>
        <family val="0"/>
        <charset val="1"/>
      </rPr>
      <t xml:space="preserve">×74</t>
    </r>
    <r>
      <rPr>
        <sz val="9"/>
        <color rgb="FF595959"/>
        <rFont val="Noto Sans CJK SC"/>
        <family val="2"/>
      </rPr>
      <t xml:space="preserve">、市值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上万倍、公司数</t>
    </r>
    <r>
      <rPr>
        <sz val="9"/>
        <color rgb="FF595959"/>
        <rFont val="Arial"/>
        <family val="0"/>
        <charset val="1"/>
      </rPr>
      <t xml:space="preserve">×540</t>
    </r>
    <r>
      <rPr>
        <sz val="9"/>
        <color rgb="FF595959"/>
        <rFont val="Noto Sans CJK SC"/>
        <family val="2"/>
      </rPr>
      <t xml:space="preserve">，但指数只</t>
    </r>
    <r>
      <rPr>
        <sz val="9"/>
        <color rgb="FF595959"/>
        <rFont val="Arial"/>
        <family val="0"/>
        <charset val="1"/>
      </rPr>
      <t xml:space="preserve">×41</t>
    </r>
    <r>
      <rPr>
        <sz val="9"/>
        <color rgb="FF595959"/>
        <rFont val="Noto Sans CJK SC"/>
        <family val="2"/>
      </rPr>
      <t xml:space="preserve">。股权财富的增长主要进了“更多公司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更大市值”，而非“更高的指数点位”。上证综指作为价格指数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受新股纳入等编制拖累，系统性低估了整体回报。</t>
    </r>
  </si>
  <si>
    <r>
      <rPr>
        <b val="true"/>
        <sz val="15"/>
        <color rgb="FF1F3864"/>
        <rFont val="Noto Sans CJK SC"/>
        <family val="2"/>
      </rPr>
      <t xml:space="preserve">合理评估一国股指的 </t>
    </r>
    <r>
      <rPr>
        <b val="true"/>
        <sz val="15"/>
        <color rgb="FF1F3864"/>
        <rFont val="Arial"/>
        <family val="0"/>
        <charset val="1"/>
      </rPr>
      <t xml:space="preserve">7 </t>
    </r>
    <r>
      <rPr>
        <b val="true"/>
        <sz val="15"/>
        <color rgb="FF1F3864"/>
        <rFont val="Noto Sans CJK SC"/>
        <family val="2"/>
      </rPr>
      <t xml:space="preserve">条方法（本报告已逐条应用）</t>
    </r>
  </si>
  <si>
    <t xml:space="preserve">原则</t>
  </si>
  <si>
    <r>
      <rPr>
        <b val="true"/>
        <sz val="10"/>
        <color rgb="FFFFFFFF"/>
        <rFont val="Noto Sans CJK SC"/>
        <family val="2"/>
      </rPr>
      <t xml:space="preserve">做法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本报告如何体现</t>
    </r>
  </si>
  <si>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可比基期</t>
    </r>
  </si>
  <si>
    <r>
      <rPr>
        <sz val="10"/>
        <color rgb="FF000000"/>
        <rFont val="Noto Sans CJK SC"/>
        <family val="2"/>
      </rPr>
      <t xml:space="preserve">别钉在某市场的泡沫顶。本报告把每个年份都当起点算（年度数据表），并对比泡沫顶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黄金起点（关键点位表）。</t>
    </r>
  </si>
  <si>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年化而非累计</t>
    </r>
  </si>
  <si>
    <r>
      <rPr>
        <sz val="10"/>
        <color rgb="FF000000"/>
        <rFont val="Noto Sans CJK SC"/>
        <family val="2"/>
      </rPr>
      <t xml:space="preserve">统一用 </t>
    </r>
    <r>
      <rPr>
        <sz val="10"/>
        <color rgb="FF000000"/>
        <rFont val="Arial"/>
        <family val="0"/>
        <charset val="1"/>
      </rPr>
      <t xml:space="preserve">r=(1/n)ln(S_T/S_0)</t>
    </r>
    <r>
      <rPr>
        <sz val="10"/>
        <color rgb="FF000000"/>
        <rFont val="Noto Sans CJK SC"/>
        <family val="2"/>
      </rPr>
      <t xml:space="preserve">。把“−</t>
    </r>
    <r>
      <rPr>
        <sz val="10"/>
        <color rgb="FF000000"/>
        <rFont val="Arial"/>
        <family val="0"/>
        <charset val="1"/>
      </rPr>
      <t xml:space="preserve">35% vs +500%”</t>
    </r>
    <r>
      <rPr>
        <sz val="10"/>
        <color rgb="FF000000"/>
        <rFont val="Noto Sans CJK SC"/>
        <family val="2"/>
      </rPr>
      <t xml:space="preserve">还原成“年化−</t>
    </r>
    <r>
      <rPr>
        <sz val="10"/>
        <color rgb="FF000000"/>
        <rFont val="Arial"/>
        <family val="0"/>
        <charset val="1"/>
      </rPr>
      <t xml:space="preserve">2% vs +10%”</t>
    </r>
    <r>
      <rPr>
        <sz val="10"/>
        <color rgb="FF000000"/>
        <rFont val="Noto Sans CJK SC"/>
        <family val="2"/>
      </rPr>
      <t xml:space="preserve">，去掉累计数的放大镜。</t>
    </r>
  </si>
  <si>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全收益口径统一</t>
    </r>
  </si>
  <si>
    <r>
      <rPr>
        <sz val="10"/>
        <color rgb="FF000000"/>
        <rFont val="Noto Sans CJK SC"/>
        <family val="2"/>
      </rPr>
      <t xml:space="preserve">上证含分红后年化再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；网传图的德国</t>
    </r>
    <r>
      <rPr>
        <sz val="10"/>
        <color rgb="FF000000"/>
        <rFont val="Arial"/>
        <family val="0"/>
        <charset val="1"/>
      </rPr>
      <t xml:space="preserve">DAX</t>
    </r>
    <r>
      <rPr>
        <sz val="10"/>
        <color rgb="FF000000"/>
        <rFont val="Noto Sans CJK SC"/>
        <family val="2"/>
      </rPr>
      <t xml:space="preserve">是全收益指数，与价格指数不可直接比（真相分解①）。</t>
    </r>
  </si>
  <si>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货币统一</t>
    </r>
  </si>
  <si>
    <r>
      <rPr>
        <sz val="10"/>
        <color rgb="FF000000"/>
        <rFont val="Noto Sans CJK SC"/>
        <family val="2"/>
      </rPr>
      <t xml:space="preserve">本报告全部用本币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人民币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各国本币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；若折美元需另注汇率，排序会变。</t>
    </r>
  </si>
  <si>
    <r>
      <rPr>
        <b val="true"/>
        <sz val="10"/>
        <color rgb="FF000000"/>
        <rFont val="Arial"/>
        <family val="0"/>
        <charset val="1"/>
      </rPr>
      <t xml:space="preserve">5 </t>
    </r>
    <r>
      <rPr>
        <b val="true"/>
        <sz val="10"/>
        <color rgb="FF000000"/>
        <rFont val="Noto Sans CJK SC"/>
        <family val="2"/>
      </rPr>
      <t xml:space="preserve">成分可比</t>
    </r>
  </si>
  <si>
    <t xml:space="preserve">宽基对宽基；上证偏银行能源、纳指偏科技，行业结构差异本身解释大部分差距。</t>
  </si>
  <si>
    <r>
      <rPr>
        <b val="true"/>
        <sz val="10"/>
        <color rgb="FF000000"/>
        <rFont val="Arial"/>
        <family val="0"/>
        <charset val="1"/>
      </rPr>
      <t xml:space="preserve">6 </t>
    </r>
    <r>
      <rPr>
        <b val="true"/>
        <sz val="10"/>
        <color rgb="FF000000"/>
        <rFont val="Noto Sans CJK SC"/>
        <family val="2"/>
      </rPr>
      <t xml:space="preserve">标注估值起点</t>
    </r>
  </si>
  <si>
    <r>
      <rPr>
        <sz val="10"/>
        <color rgb="FF000000"/>
        <rFont val="Noto Sans CJK SC"/>
        <family val="2"/>
      </rPr>
      <t xml:space="preserve">拆出盈利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估值：−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几乎全是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倍→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倍的估值回归，而非盈利下滑（真相分解①）。</t>
    </r>
  </si>
  <si>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诚实两面</t>
    </r>
  </si>
  <si>
    <r>
      <rPr>
        <sz val="10"/>
        <color rgb="FF000000"/>
        <rFont val="Noto Sans CJK SC"/>
        <family val="2"/>
      </rPr>
      <t xml:space="preserve">既呈现长期年化≈</t>
    </r>
    <r>
      <rPr>
        <sz val="10"/>
        <color rgb="FF000000"/>
        <rFont val="Arial"/>
        <family val="0"/>
        <charset val="1"/>
      </rPr>
      <t xml:space="preserve">+10%</t>
    </r>
    <r>
      <rPr>
        <sz val="10"/>
        <color rgb="FF000000"/>
        <rFont val="Noto Sans CJK SC"/>
        <family val="2"/>
      </rPr>
      <t xml:space="preserve">（含分红更高）、与名义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</rPr>
      <t xml:space="preserve">匹配的事实，也承认牛短熊长、扩容稀释等真实问题。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</si>
</sst>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"/>
    <numFmt numFmtId="168" formatCode="0.0%"/>
    <numFmt numFmtId="169" formatCode="#,##0.0"/>
    <numFmt numFmtId="170" formatCode="#,##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Noto Sans CJK SC"/>
      <family val="2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上证综指 年末收盘点位 (1990–2026)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年度数据!C5</c:f>
              <c:strCache>
                <c:ptCount val="1"/>
                <c:pt idx="0">
                  <c:v>年末收盘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年度数据!$A$6:$A$42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</c:strCache>
            </c:strRef>
          </c:cat>
          <c:val>
            <c:numRef>
              <c:f>年度数据!$C$6:$C$42</c:f>
              <c:numCache>
                <c:formatCode>#,##0</c:formatCode>
                <c:ptCount val="37"/>
                <c:pt idx="0">
                  <c:v>127.61</c:v>
                </c:pt>
                <c:pt idx="1">
                  <c:v>292.75</c:v>
                </c:pt>
                <c:pt idx="2">
                  <c:v>780.39</c:v>
                </c:pt>
                <c:pt idx="3">
                  <c:v>833.8</c:v>
                </c:pt>
                <c:pt idx="4">
                  <c:v>647.87</c:v>
                </c:pt>
                <c:pt idx="5">
                  <c:v>555.29</c:v>
                </c:pt>
                <c:pt idx="6">
                  <c:v>917.02</c:v>
                </c:pt>
                <c:pt idx="7">
                  <c:v>1194.1</c:v>
                </c:pt>
                <c:pt idx="8">
                  <c:v>1146.7</c:v>
                </c:pt>
                <c:pt idx="9">
                  <c:v>1366.58</c:v>
                </c:pt>
                <c:pt idx="10">
                  <c:v>2073.48</c:v>
                </c:pt>
                <c:pt idx="11">
                  <c:v>1645.97</c:v>
                </c:pt>
                <c:pt idx="12">
                  <c:v>1357.65</c:v>
                </c:pt>
                <c:pt idx="13">
                  <c:v>1497.04</c:v>
                </c:pt>
                <c:pt idx="14">
                  <c:v>1266.5</c:v>
                </c:pt>
                <c:pt idx="15">
                  <c:v>1161.06</c:v>
                </c:pt>
                <c:pt idx="16">
                  <c:v>2675.47</c:v>
                </c:pt>
                <c:pt idx="17">
                  <c:v>5261.56</c:v>
                </c:pt>
                <c:pt idx="18">
                  <c:v>1820.81</c:v>
                </c:pt>
                <c:pt idx="19">
                  <c:v>3277.14</c:v>
                </c:pt>
                <c:pt idx="20">
                  <c:v>2808.08</c:v>
                </c:pt>
                <c:pt idx="21">
                  <c:v>2199.42</c:v>
                </c:pt>
                <c:pt idx="22">
                  <c:v>2269.13</c:v>
                </c:pt>
                <c:pt idx="23">
                  <c:v>2115.98</c:v>
                </c:pt>
                <c:pt idx="24">
                  <c:v>3234.68</c:v>
                </c:pt>
                <c:pt idx="25">
                  <c:v>3539.18</c:v>
                </c:pt>
                <c:pt idx="26">
                  <c:v>3103.64</c:v>
                </c:pt>
                <c:pt idx="27">
                  <c:v>3307.17</c:v>
                </c:pt>
                <c:pt idx="28">
                  <c:v>2493.9</c:v>
                </c:pt>
                <c:pt idx="29">
                  <c:v>3050.12</c:v>
                </c:pt>
                <c:pt idx="30">
                  <c:v>3473.07</c:v>
                </c:pt>
                <c:pt idx="31">
                  <c:v>3639.78</c:v>
                </c:pt>
                <c:pt idx="32">
                  <c:v>3089.26</c:v>
                </c:pt>
                <c:pt idx="33">
                  <c:v>2974.93</c:v>
                </c:pt>
                <c:pt idx="34">
                  <c:v>3351.76</c:v>
                </c:pt>
                <c:pt idx="35">
                  <c:v>3968.84</c:v>
                </c:pt>
                <c:pt idx="36">
                  <c:v>4100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754091"/>
        <c:axId val="88432714"/>
      </c:lineChart>
      <c:catAx>
        <c:axId val="927540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32714"/>
        <c:crosses val="autoZero"/>
        <c:auto val="1"/>
        <c:lblAlgn val="ctr"/>
        <c:lblOffset val="100"/>
        <c:noMultiLvlLbl val="0"/>
      </c:catAx>
      <c:valAx>
        <c:axId val="88432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点位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4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以各年末为起点·到今天(4100)的年化连续复利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年度数据!G5</c:f>
              <c:strCache>
                <c:ptCount val="1"/>
                <c:pt idx="0">
                  <c:v>距今年化cc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年度数据!$A$6:$A$41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年度数据!$G$6:$G$41</c:f>
              <c:numCache>
                <c:formatCode>0.0%</c:formatCode>
                <c:ptCount val="36"/>
                <c:pt idx="0">
                  <c:v>0.0979882382080346</c:v>
                </c:pt>
                <c:pt idx="1">
                  <c:v>0.076705122063777</c:v>
                </c:pt>
                <c:pt idx="2">
                  <c:v>0.0496542489663905</c:v>
                </c:pt>
                <c:pt idx="3">
                  <c:v>0.049143742278485</c:v>
                </c:pt>
                <c:pt idx="4">
                  <c:v>0.0587409167064759</c:v>
                </c:pt>
                <c:pt idx="5">
                  <c:v>0.0657432342285694</c:v>
                </c:pt>
                <c:pt idx="6">
                  <c:v>0.0509218963081589</c:v>
                </c:pt>
                <c:pt idx="7">
                  <c:v>0.0434211267213325</c:v>
                </c:pt>
                <c:pt idx="8">
                  <c:v>0.0464829887503881</c:v>
                </c:pt>
                <c:pt idx="9">
                  <c:v>0.0416007461307477</c:v>
                </c:pt>
                <c:pt idx="10">
                  <c:v>0.0268303273742372</c:v>
                </c:pt>
                <c:pt idx="11">
                  <c:v>0.0373886561910654</c:v>
                </c:pt>
                <c:pt idx="12">
                  <c:v>0.0472119483020549</c:v>
                </c:pt>
                <c:pt idx="13">
                  <c:v>0.0449574809693379</c:v>
                </c:pt>
                <c:pt idx="14">
                  <c:v>0.0548682757239918</c:v>
                </c:pt>
                <c:pt idx="15">
                  <c:v>0.0618154626527821</c:v>
                </c:pt>
                <c:pt idx="16">
                  <c:v>0.0219918551190784</c:v>
                </c:pt>
                <c:pt idx="17">
                  <c:v>-0.0135491899519597</c:v>
                </c:pt>
                <c:pt idx="18">
                  <c:v>0.0466229475407281</c:v>
                </c:pt>
                <c:pt idx="19">
                  <c:v>0.0136511811641872</c:v>
                </c:pt>
                <c:pt idx="20">
                  <c:v>0.0245610641092822</c:v>
                </c:pt>
                <c:pt idx="21">
                  <c:v>0.0432195200879806</c:v>
                </c:pt>
                <c:pt idx="22">
                  <c:v>0.0441156208494923</c:v>
                </c:pt>
                <c:pt idx="23">
                  <c:v>0.0533012821558996</c:v>
                </c:pt>
                <c:pt idx="24">
                  <c:v>0.0207762461642046</c:v>
                </c:pt>
                <c:pt idx="25">
                  <c:v>0.0141298666488933</c:v>
                </c:pt>
                <c:pt idx="26">
                  <c:v>0.0295867542504633</c:v>
                </c:pt>
                <c:pt idx="27">
                  <c:v>0.0255522158054218</c:v>
                </c:pt>
                <c:pt idx="28">
                  <c:v>0.0670903135610313</c:v>
                </c:pt>
                <c:pt idx="29">
                  <c:v>0.0461475880815302</c:v>
                </c:pt>
                <c:pt idx="30">
                  <c:v>0.0306743150954289</c:v>
                </c:pt>
                <c:pt idx="31">
                  <c:v>0.0269985790132866</c:v>
                </c:pt>
                <c:pt idx="32">
                  <c:v>0.083007446827475</c:v>
                </c:pt>
                <c:pt idx="33">
                  <c:v>0.133098118008815</c:v>
                </c:pt>
                <c:pt idx="34">
                  <c:v>0.142908789148293</c:v>
                </c:pt>
                <c:pt idx="35">
                  <c:v>0.079300275958926</c:v>
                </c:pt>
              </c:numCache>
            </c:numRef>
          </c:val>
        </c:ser>
        <c:gapWidth val="150"/>
        <c:overlap val="0"/>
        <c:axId val="92012898"/>
        <c:axId val="28191591"/>
      </c:barChart>
      <c:catAx>
        <c:axId val="9201289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91591"/>
        <c:crosses val="autoZero"/>
        <c:auto val="1"/>
        <c:lblAlgn val="ctr"/>
        <c:lblOffset val="100"/>
        <c:noMultiLvlLbl val="0"/>
      </c:catAx>
      <c:valAx>
        <c:axId val="28191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年化cc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12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98640</xdr:rowOff>
    </xdr:from>
    <xdr:to>
      <xdr:col>19</xdr:col>
      <xdr:colOff>473040</xdr:colOff>
      <xdr:row>17</xdr:row>
      <xdr:rowOff>177840</xdr:rowOff>
    </xdr:to>
    <xdr:graphicFrame>
      <xdr:nvGraphicFramePr>
        <xdr:cNvPr id="0" name="Chart 1"/>
        <xdr:cNvGraphicFramePr/>
      </xdr:nvGraphicFramePr>
      <xdr:xfrm>
        <a:off x="660276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98280</xdr:rowOff>
    </xdr:from>
    <xdr:to>
      <xdr:col>19</xdr:col>
      <xdr:colOff>473040</xdr:colOff>
      <xdr:row>35</xdr:row>
      <xdr:rowOff>120600</xdr:rowOff>
    </xdr:to>
    <xdr:graphicFrame>
      <xdr:nvGraphicFramePr>
        <xdr:cNvPr id="1" name="Chart 2"/>
        <xdr:cNvGraphicFramePr/>
      </xdr:nvGraphicFramePr>
      <xdr:xfrm>
        <a:off x="6602760" y="4133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23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9.5" hidden="false" customHeight="true" outlineLevel="0" collapsed="false">
      <c r="B4" s="3" t="s">
        <v>2</v>
      </c>
    </row>
    <row r="5" customFormat="false" ht="45.75" hidden="false" customHeight="true" outlineLevel="0" collapsed="false">
      <c r="B5" s="4" t="s">
        <v>3</v>
      </c>
    </row>
    <row r="6" customFormat="false" ht="19.5" hidden="false" customHeight="true" outlineLevel="0" collapsed="false">
      <c r="B6" s="3" t="s">
        <v>4</v>
      </c>
    </row>
    <row r="7" customFormat="false" ht="45.75" hidden="false" customHeight="true" outlineLevel="0" collapsed="false">
      <c r="B7" s="4" t="s">
        <v>5</v>
      </c>
    </row>
    <row r="8" customFormat="false" ht="19.5" hidden="false" customHeight="true" outlineLevel="0" collapsed="false">
      <c r="B8" s="3" t="s">
        <v>6</v>
      </c>
    </row>
    <row r="9" customFormat="false" ht="45.75" hidden="false" customHeight="true" outlineLevel="0" collapsed="false">
      <c r="B9" s="4" t="s">
        <v>7</v>
      </c>
    </row>
    <row r="10" customFormat="false" ht="19.5" hidden="false" customHeight="true" outlineLevel="0" collapsed="false">
      <c r="B10" s="3" t="s">
        <v>8</v>
      </c>
    </row>
    <row r="11" customFormat="false" ht="45.75" hidden="false" customHeight="true" outlineLevel="0" collapsed="false">
      <c r="B11" s="5" t="s">
        <v>9</v>
      </c>
    </row>
    <row r="12" customFormat="false" ht="19.5" hidden="false" customHeight="true" outlineLevel="0" collapsed="false">
      <c r="B12" s="3" t="s">
        <v>10</v>
      </c>
    </row>
    <row r="13" customFormat="false" ht="45.75" hidden="false" customHeight="true" outlineLevel="0" collapsed="false">
      <c r="B13" s="4" t="s">
        <v>11</v>
      </c>
    </row>
    <row r="14" customFormat="false" ht="19.5" hidden="false" customHeight="true" outlineLevel="0" collapsed="false">
      <c r="B14" s="3" t="s">
        <v>12</v>
      </c>
    </row>
    <row r="15" customFormat="false" ht="45.75" hidden="false" customHeight="true" outlineLevel="0" collapsed="false">
      <c r="B15" s="4" t="s">
        <v>13</v>
      </c>
    </row>
    <row r="16" customFormat="false" ht="26.85" hidden="false" customHeight="false" outlineLevel="0" collapsed="false">
      <c r="B16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3.1" hidden="false" customHeight="false" outlineLevel="0" collapsed="false">
      <c r="A1" s="7" t="s">
        <v>15</v>
      </c>
      <c r="B1" s="7"/>
      <c r="C1" s="7"/>
      <c r="D1" s="7"/>
      <c r="E1" s="7"/>
      <c r="F1" s="7"/>
      <c r="G1" s="7"/>
    </row>
    <row r="2" customFormat="false" ht="14.15" hidden="false" customHeight="false" outlineLevel="0" collapsed="false">
      <c r="A2" s="8" t="s">
        <v>16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9" t="s">
        <v>17</v>
      </c>
      <c r="B3" s="10" t="n">
        <v>4100</v>
      </c>
      <c r="C3" s="9" t="s">
        <v>18</v>
      </c>
      <c r="D3" s="11" t="n">
        <v>2026.41</v>
      </c>
    </row>
    <row r="5" customFormat="false" ht="25.5" hidden="false" customHeight="true" outlineLevel="0" collapsed="false">
      <c r="A5" s="12" t="s">
        <v>19</v>
      </c>
      <c r="B5" s="12" t="s">
        <v>20</v>
      </c>
      <c r="C5" s="12" t="s">
        <v>21</v>
      </c>
      <c r="D5" s="12" t="s">
        <v>22</v>
      </c>
      <c r="E5" s="12" t="s">
        <v>23</v>
      </c>
      <c r="F5" s="12" t="s">
        <v>24</v>
      </c>
      <c r="G5" s="12" t="s">
        <v>25</v>
      </c>
    </row>
    <row r="6" customFormat="false" ht="15" hidden="false" customHeight="false" outlineLevel="0" collapsed="false">
      <c r="A6" s="13" t="n">
        <v>1990</v>
      </c>
      <c r="B6" s="14" t="n">
        <v>1991</v>
      </c>
      <c r="C6" s="15" t="n">
        <v>127.61</v>
      </c>
      <c r="D6" s="16" t="n">
        <f aca="false">C6/100-1</f>
        <v>0.2761</v>
      </c>
      <c r="E6" s="17" t="n">
        <f aca="false">$D$3-B6</f>
        <v>35.4100000000001</v>
      </c>
      <c r="F6" s="16" t="n">
        <f aca="false">IF($D$3-B6=0,"-",$B$3/C6-1)</f>
        <v>31.129143484053</v>
      </c>
      <c r="G6" s="16" t="n">
        <f aca="false">IF($D$3-B6=0,"-",LN($B$3/C6)/($D$3-B6))</f>
        <v>0.0979882382080346</v>
      </c>
    </row>
    <row r="7" customFormat="false" ht="15" hidden="false" customHeight="false" outlineLevel="0" collapsed="false">
      <c r="A7" s="18" t="n">
        <v>1991</v>
      </c>
      <c r="B7" s="19" t="n">
        <v>1992</v>
      </c>
      <c r="C7" s="20" t="n">
        <v>292.75</v>
      </c>
      <c r="D7" s="21" t="n">
        <f aca="false">C7/C6-1</f>
        <v>1.29409920852598</v>
      </c>
      <c r="E7" s="22" t="n">
        <f aca="false">$D$3-B7</f>
        <v>34.4100000000001</v>
      </c>
      <c r="F7" s="21" t="n">
        <f aca="false">IF($D$3-B7=0,"-",$B$3/C7-1)</f>
        <v>13.0051238257899</v>
      </c>
      <c r="G7" s="21" t="n">
        <f aca="false">IF($D$3-B7=0,"-",LN($B$3/C7)/($D$3-B7))</f>
        <v>0.076705122063777</v>
      </c>
    </row>
    <row r="8" customFormat="false" ht="15" hidden="false" customHeight="false" outlineLevel="0" collapsed="false">
      <c r="A8" s="23" t="n">
        <v>1992</v>
      </c>
      <c r="B8" s="24" t="n">
        <v>1993</v>
      </c>
      <c r="C8" s="25" t="n">
        <v>780.39</v>
      </c>
      <c r="D8" s="26" t="n">
        <f aca="false">C8/C7-1</f>
        <v>1.66572160546541</v>
      </c>
      <c r="E8" s="27" t="n">
        <f aca="false">$D$3-B8</f>
        <v>33.4100000000001</v>
      </c>
      <c r="F8" s="26" t="n">
        <f aca="false">IF($D$3-B8=0,"-",$B$3/C8-1)</f>
        <v>4.25378336472789</v>
      </c>
      <c r="G8" s="26" t="n">
        <f aca="false">IF($D$3-B8=0,"-",LN($B$3/C8)/($D$3-B8))</f>
        <v>0.0496542489663905</v>
      </c>
    </row>
    <row r="9" customFormat="false" ht="15" hidden="false" customHeight="false" outlineLevel="0" collapsed="false">
      <c r="A9" s="18" t="n">
        <v>1993</v>
      </c>
      <c r="B9" s="19" t="n">
        <v>1994</v>
      </c>
      <c r="C9" s="20" t="n">
        <v>833.8</v>
      </c>
      <c r="D9" s="21" t="n">
        <f aca="false">C9/C8-1</f>
        <v>0.0684401389049065</v>
      </c>
      <c r="E9" s="22" t="n">
        <f aca="false">$D$3-B9</f>
        <v>32.4100000000001</v>
      </c>
      <c r="F9" s="21" t="n">
        <f aca="false">IF($D$3-B9=0,"-",$B$3/C9-1)</f>
        <v>3.91724634204845</v>
      </c>
      <c r="G9" s="21" t="n">
        <f aca="false">IF($D$3-B9=0,"-",LN($B$3/C9)/($D$3-B9))</f>
        <v>0.049143742278485</v>
      </c>
    </row>
    <row r="10" customFormat="false" ht="15" hidden="false" customHeight="false" outlineLevel="0" collapsed="false">
      <c r="A10" s="23" t="n">
        <v>1994</v>
      </c>
      <c r="B10" s="24" t="n">
        <v>1995</v>
      </c>
      <c r="C10" s="25" t="n">
        <v>647.87</v>
      </c>
      <c r="D10" s="26" t="n">
        <f aca="false">C10/C9-1</f>
        <v>-0.222991124970017</v>
      </c>
      <c r="E10" s="27" t="n">
        <f aca="false">$D$3-B10</f>
        <v>31.4100000000001</v>
      </c>
      <c r="F10" s="26" t="n">
        <f aca="false">IF($D$3-B10=0,"-",$B$3/C10-1)</f>
        <v>5.32843008628274</v>
      </c>
      <c r="G10" s="26" t="n">
        <f aca="false">IF($D$3-B10=0,"-",LN($B$3/C10)/($D$3-B10))</f>
        <v>0.0587409167064759</v>
      </c>
    </row>
    <row r="11" customFormat="false" ht="15" hidden="false" customHeight="false" outlineLevel="0" collapsed="false">
      <c r="A11" s="18" t="n">
        <v>1995</v>
      </c>
      <c r="B11" s="19" t="n">
        <v>1996</v>
      </c>
      <c r="C11" s="20" t="n">
        <v>555.29</v>
      </c>
      <c r="D11" s="21" t="n">
        <f aca="false">C11/C10-1</f>
        <v>-0.142899038387331</v>
      </c>
      <c r="E11" s="22" t="n">
        <f aca="false">$D$3-B11</f>
        <v>30.4100000000001</v>
      </c>
      <c r="F11" s="21" t="n">
        <f aca="false">IF($D$3-B11=0,"-",$B$3/C11-1)</f>
        <v>6.38352932701832</v>
      </c>
      <c r="G11" s="21" t="n">
        <f aca="false">IF($D$3-B11=0,"-",LN($B$3/C11)/($D$3-B11))</f>
        <v>0.0657432342285694</v>
      </c>
    </row>
    <row r="12" customFormat="false" ht="15" hidden="false" customHeight="false" outlineLevel="0" collapsed="false">
      <c r="A12" s="23" t="n">
        <v>1996</v>
      </c>
      <c r="B12" s="24" t="n">
        <v>1997</v>
      </c>
      <c r="C12" s="25" t="n">
        <v>917.02</v>
      </c>
      <c r="D12" s="26" t="n">
        <f aca="false">C12/C11-1</f>
        <v>0.651425381332277</v>
      </c>
      <c r="E12" s="27" t="n">
        <f aca="false">$D$3-B12</f>
        <v>29.4100000000001</v>
      </c>
      <c r="F12" s="26" t="n">
        <f aca="false">IF($D$3-B12=0,"-",$B$3/C12-1)</f>
        <v>3.47100390394975</v>
      </c>
      <c r="G12" s="26" t="n">
        <f aca="false">IF($D$3-B12=0,"-",LN($B$3/C12)/($D$3-B12))</f>
        <v>0.0509218963081589</v>
      </c>
    </row>
    <row r="13" customFormat="false" ht="15" hidden="false" customHeight="false" outlineLevel="0" collapsed="false">
      <c r="A13" s="18" t="n">
        <v>1997</v>
      </c>
      <c r="B13" s="19" t="n">
        <v>1998</v>
      </c>
      <c r="C13" s="20" t="n">
        <v>1194.1</v>
      </c>
      <c r="D13" s="21" t="n">
        <f aca="false">C13/C12-1</f>
        <v>0.302152624806438</v>
      </c>
      <c r="E13" s="22" t="n">
        <f aca="false">$D$3-B13</f>
        <v>28.4100000000001</v>
      </c>
      <c r="F13" s="21" t="n">
        <f aca="false">IF($D$3-B13=0,"-",$B$3/C13-1)</f>
        <v>2.43354827903861</v>
      </c>
      <c r="G13" s="21" t="n">
        <f aca="false">IF($D$3-B13=0,"-",LN($B$3/C13)/($D$3-B13))</f>
        <v>0.0434211267213325</v>
      </c>
    </row>
    <row r="14" customFormat="false" ht="15" hidden="false" customHeight="false" outlineLevel="0" collapsed="false">
      <c r="A14" s="23" t="n">
        <v>1998</v>
      </c>
      <c r="B14" s="24" t="n">
        <v>1999</v>
      </c>
      <c r="C14" s="25" t="n">
        <v>1146.7</v>
      </c>
      <c r="D14" s="26" t="n">
        <f aca="false">C14/C13-1</f>
        <v>-0.0396951679088853</v>
      </c>
      <c r="E14" s="27" t="n">
        <f aca="false">$D$3-B14</f>
        <v>27.4100000000001</v>
      </c>
      <c r="F14" s="26" t="n">
        <f aca="false">IF($D$3-B14=0,"-",$B$3/C14-1)</f>
        <v>2.57547745705067</v>
      </c>
      <c r="G14" s="26" t="n">
        <f aca="false">IF($D$3-B14=0,"-",LN($B$3/C14)/($D$3-B14))</f>
        <v>0.0464829887503881</v>
      </c>
    </row>
    <row r="15" customFormat="false" ht="15" hidden="false" customHeight="false" outlineLevel="0" collapsed="false">
      <c r="A15" s="18" t="n">
        <v>1999</v>
      </c>
      <c r="B15" s="19" t="n">
        <v>2000</v>
      </c>
      <c r="C15" s="20" t="n">
        <v>1366.58</v>
      </c>
      <c r="D15" s="21" t="n">
        <f aca="false">C15/C14-1</f>
        <v>0.19175023981861</v>
      </c>
      <c r="E15" s="22" t="n">
        <f aca="false">$D$3-B15</f>
        <v>26.4100000000001</v>
      </c>
      <c r="F15" s="21" t="n">
        <f aca="false">IF($D$3-B15=0,"-",$B$3/C15-1)</f>
        <v>2.00019025596745</v>
      </c>
      <c r="G15" s="21" t="n">
        <f aca="false">IF($D$3-B15=0,"-",LN($B$3/C15)/($D$3-B15))</f>
        <v>0.0416007461307477</v>
      </c>
    </row>
    <row r="16" customFormat="false" ht="15" hidden="false" customHeight="false" outlineLevel="0" collapsed="false">
      <c r="A16" s="23" t="n">
        <v>2000</v>
      </c>
      <c r="B16" s="24" t="n">
        <v>2001</v>
      </c>
      <c r="C16" s="25" t="n">
        <v>2073.48</v>
      </c>
      <c r="D16" s="26" t="n">
        <f aca="false">C16/C15-1</f>
        <v>0.517276705352047</v>
      </c>
      <c r="E16" s="27" t="n">
        <f aca="false">$D$3-B16</f>
        <v>25.4100000000001</v>
      </c>
      <c r="F16" s="26" t="n">
        <f aca="false">IF($D$3-B16=0,"-",$B$3/C16-1)</f>
        <v>0.977352084418466</v>
      </c>
      <c r="G16" s="26" t="n">
        <f aca="false">IF($D$3-B16=0,"-",LN($B$3/C16)/($D$3-B16))</f>
        <v>0.0268303273742372</v>
      </c>
    </row>
    <row r="17" customFormat="false" ht="15" hidden="false" customHeight="false" outlineLevel="0" collapsed="false">
      <c r="A17" s="18" t="n">
        <v>2001</v>
      </c>
      <c r="B17" s="19" t="n">
        <v>2002</v>
      </c>
      <c r="C17" s="20" t="n">
        <v>1645.97</v>
      </c>
      <c r="D17" s="21" t="n">
        <f aca="false">C17/C16-1</f>
        <v>-0.206179948685302</v>
      </c>
      <c r="E17" s="22" t="n">
        <f aca="false">$D$3-B17</f>
        <v>24.4100000000001</v>
      </c>
      <c r="F17" s="21" t="n">
        <f aca="false">IF($D$3-B17=0,"-",$B$3/C17-1)</f>
        <v>1.49093239852488</v>
      </c>
      <c r="G17" s="21" t="n">
        <f aca="false">IF($D$3-B17=0,"-",LN($B$3/C17)/($D$3-B17))</f>
        <v>0.0373886561910654</v>
      </c>
    </row>
    <row r="18" customFormat="false" ht="15" hidden="false" customHeight="false" outlineLevel="0" collapsed="false">
      <c r="A18" s="23" t="n">
        <v>2002</v>
      </c>
      <c r="B18" s="24" t="n">
        <v>2003</v>
      </c>
      <c r="C18" s="25" t="n">
        <v>1357.65</v>
      </c>
      <c r="D18" s="26" t="n">
        <f aca="false">C18/C17-1</f>
        <v>-0.175167226620169</v>
      </c>
      <c r="E18" s="27" t="n">
        <f aca="false">$D$3-B18</f>
        <v>23.4100000000001</v>
      </c>
      <c r="F18" s="26" t="n">
        <f aca="false">IF($D$3-B18=0,"-",$B$3/C18-1)</f>
        <v>2.01992413361323</v>
      </c>
      <c r="G18" s="26" t="n">
        <f aca="false">IF($D$3-B18=0,"-",LN($B$3/C18)/($D$3-B18))</f>
        <v>0.0472119483020549</v>
      </c>
    </row>
    <row r="19" customFormat="false" ht="15" hidden="false" customHeight="false" outlineLevel="0" collapsed="false">
      <c r="A19" s="18" t="n">
        <v>2003</v>
      </c>
      <c r="B19" s="19" t="n">
        <v>2004</v>
      </c>
      <c r="C19" s="20" t="n">
        <v>1497.04</v>
      </c>
      <c r="D19" s="21" t="n">
        <f aca="false">C19/C18-1</f>
        <v>0.102670054874231</v>
      </c>
      <c r="E19" s="22" t="n">
        <f aca="false">$D$3-B19</f>
        <v>22.4100000000001</v>
      </c>
      <c r="F19" s="21" t="n">
        <f aca="false">IF($D$3-B19=0,"-",$B$3/C19-1)</f>
        <v>1.73873777587773</v>
      </c>
      <c r="G19" s="21" t="n">
        <f aca="false">IF($D$3-B19=0,"-",LN($B$3/C19)/($D$3-B19))</f>
        <v>0.0449574809693379</v>
      </c>
    </row>
    <row r="20" customFormat="false" ht="15" hidden="false" customHeight="false" outlineLevel="0" collapsed="false">
      <c r="A20" s="23" t="n">
        <v>2004</v>
      </c>
      <c r="B20" s="24" t="n">
        <v>2005</v>
      </c>
      <c r="C20" s="25" t="n">
        <v>1266.5</v>
      </c>
      <c r="D20" s="26" t="n">
        <f aca="false">C20/C19-1</f>
        <v>-0.153997221183135</v>
      </c>
      <c r="E20" s="27" t="n">
        <f aca="false">$D$3-B20</f>
        <v>21.4100000000001</v>
      </c>
      <c r="F20" s="26" t="n">
        <f aca="false">IF($D$3-B20=0,"-",$B$3/C20-1)</f>
        <v>2.23726806158705</v>
      </c>
      <c r="G20" s="26" t="n">
        <f aca="false">IF($D$3-B20=0,"-",LN($B$3/C20)/($D$3-B20))</f>
        <v>0.0548682757239918</v>
      </c>
    </row>
    <row r="21" customFormat="false" ht="15" hidden="false" customHeight="false" outlineLevel="0" collapsed="false">
      <c r="A21" s="13" t="n">
        <v>2005</v>
      </c>
      <c r="B21" s="14" t="n">
        <v>2006</v>
      </c>
      <c r="C21" s="15" t="n">
        <v>1161.06</v>
      </c>
      <c r="D21" s="16" t="n">
        <f aca="false">C21/C20-1</f>
        <v>-0.083253059613107</v>
      </c>
      <c r="E21" s="17" t="n">
        <f aca="false">$D$3-B21</f>
        <v>20.4100000000001</v>
      </c>
      <c r="F21" s="16" t="n">
        <f aca="false">IF($D$3-B21=0,"-",$B$3/C21-1)</f>
        <v>2.53125592131328</v>
      </c>
      <c r="G21" s="16" t="n">
        <f aca="false">IF($D$3-B21=0,"-",LN($B$3/C21)/($D$3-B21))</f>
        <v>0.0618154626527821</v>
      </c>
    </row>
    <row r="22" customFormat="false" ht="15" hidden="false" customHeight="false" outlineLevel="0" collapsed="false">
      <c r="A22" s="23" t="n">
        <v>2006</v>
      </c>
      <c r="B22" s="24" t="n">
        <v>2007</v>
      </c>
      <c r="C22" s="25" t="n">
        <v>2675.47</v>
      </c>
      <c r="D22" s="26" t="n">
        <f aca="false">C22/C21-1</f>
        <v>1.30433397068196</v>
      </c>
      <c r="E22" s="27" t="n">
        <f aca="false">$D$3-B22</f>
        <v>19.4100000000001</v>
      </c>
      <c r="F22" s="26" t="n">
        <f aca="false">IF($D$3-B22=0,"-",$B$3/C22-1)</f>
        <v>0.532441029052839</v>
      </c>
      <c r="G22" s="26" t="n">
        <f aca="false">IF($D$3-B22=0,"-",LN($B$3/C22)/($D$3-B22))</f>
        <v>0.0219918551190784</v>
      </c>
    </row>
    <row r="23" customFormat="false" ht="15" hidden="false" customHeight="false" outlineLevel="0" collapsed="false">
      <c r="A23" s="28" t="n">
        <v>2007</v>
      </c>
      <c r="B23" s="29" t="n">
        <v>2008</v>
      </c>
      <c r="C23" s="30" t="n">
        <v>5261.56</v>
      </c>
      <c r="D23" s="31" t="n">
        <f aca="false">C23/C22-1</f>
        <v>0.966592785566648</v>
      </c>
      <c r="E23" s="32" t="n">
        <f aca="false">$D$3-B23</f>
        <v>18.4100000000001</v>
      </c>
      <c r="F23" s="31" t="n">
        <f aca="false">IF($D$3-B23=0,"-",$B$3/C23-1)</f>
        <v>-0.220763423775458</v>
      </c>
      <c r="G23" s="31" t="n">
        <f aca="false">IF($D$3-B23=0,"-",LN($B$3/C23)/($D$3-B23))</f>
        <v>-0.0135491899519597</v>
      </c>
    </row>
    <row r="24" customFormat="false" ht="15" hidden="false" customHeight="false" outlineLevel="0" collapsed="false">
      <c r="A24" s="13" t="n">
        <v>2008</v>
      </c>
      <c r="B24" s="14" t="n">
        <v>2009</v>
      </c>
      <c r="C24" s="15" t="n">
        <v>1820.81</v>
      </c>
      <c r="D24" s="16" t="n">
        <f aca="false">C24/C23-1</f>
        <v>-0.653941036498681</v>
      </c>
      <c r="E24" s="17" t="n">
        <f aca="false">$D$3-B24</f>
        <v>17.4100000000001</v>
      </c>
      <c r="F24" s="16" t="n">
        <f aca="false">IF($D$3-B24=0,"-",$B$3/C24-1)</f>
        <v>1.2517451024544</v>
      </c>
      <c r="G24" s="16" t="n">
        <f aca="false">IF($D$3-B24=0,"-",LN($B$3/C24)/($D$3-B24))</f>
        <v>0.0466229475407281</v>
      </c>
    </row>
    <row r="25" customFormat="false" ht="15" hidden="false" customHeight="false" outlineLevel="0" collapsed="false">
      <c r="A25" s="18" t="n">
        <v>2009</v>
      </c>
      <c r="B25" s="19" t="n">
        <v>2010</v>
      </c>
      <c r="C25" s="20" t="n">
        <v>3277.14</v>
      </c>
      <c r="D25" s="21" t="n">
        <f aca="false">C25/C24-1</f>
        <v>0.799825352453029</v>
      </c>
      <c r="E25" s="22" t="n">
        <f aca="false">$D$3-B25</f>
        <v>16.4100000000001</v>
      </c>
      <c r="F25" s="21" t="n">
        <f aca="false">IF($D$3-B25=0,"-",$B$3/C25-1)</f>
        <v>0.251090890227454</v>
      </c>
      <c r="G25" s="21" t="n">
        <f aca="false">IF($D$3-B25=0,"-",LN($B$3/C25)/($D$3-B25))</f>
        <v>0.0136511811641872</v>
      </c>
    </row>
    <row r="26" customFormat="false" ht="15" hidden="false" customHeight="false" outlineLevel="0" collapsed="false">
      <c r="A26" s="23" t="n">
        <v>2010</v>
      </c>
      <c r="B26" s="24" t="n">
        <v>2011</v>
      </c>
      <c r="C26" s="25" t="n">
        <v>2808.08</v>
      </c>
      <c r="D26" s="26" t="n">
        <f aca="false">C26/C25-1</f>
        <v>-0.143130900724412</v>
      </c>
      <c r="E26" s="27" t="n">
        <f aca="false">$D$3-B26</f>
        <v>15.4100000000001</v>
      </c>
      <c r="F26" s="26" t="n">
        <f aca="false">IF($D$3-B26=0,"-",$B$3/C26-1)</f>
        <v>0.460072362610752</v>
      </c>
      <c r="G26" s="26" t="n">
        <f aca="false">IF($D$3-B26=0,"-",LN($B$3/C26)/($D$3-B26))</f>
        <v>0.0245610641092822</v>
      </c>
    </row>
    <row r="27" customFormat="false" ht="15" hidden="false" customHeight="false" outlineLevel="0" collapsed="false">
      <c r="A27" s="18" t="n">
        <v>2011</v>
      </c>
      <c r="B27" s="19" t="n">
        <v>2012</v>
      </c>
      <c r="C27" s="20" t="n">
        <v>2199.42</v>
      </c>
      <c r="D27" s="21" t="n">
        <f aca="false">C27/C26-1</f>
        <v>-0.216753083957722</v>
      </c>
      <c r="E27" s="22" t="n">
        <f aca="false">$D$3-B27</f>
        <v>14.4100000000001</v>
      </c>
      <c r="F27" s="21" t="n">
        <f aca="false">IF($D$3-B27=0,"-",$B$3/C27-1)</f>
        <v>0.864127815514999</v>
      </c>
      <c r="G27" s="21" t="n">
        <f aca="false">IF($D$3-B27=0,"-",LN($B$3/C27)/($D$3-B27))</f>
        <v>0.0432195200879806</v>
      </c>
    </row>
    <row r="28" customFormat="false" ht="15" hidden="false" customHeight="false" outlineLevel="0" collapsed="false">
      <c r="A28" s="23" t="n">
        <v>2012</v>
      </c>
      <c r="B28" s="24" t="n">
        <v>2013</v>
      </c>
      <c r="C28" s="25" t="n">
        <v>2269.13</v>
      </c>
      <c r="D28" s="26" t="n">
        <f aca="false">C28/C27-1</f>
        <v>0.0316947195169637</v>
      </c>
      <c r="E28" s="27" t="n">
        <f aca="false">$D$3-B28</f>
        <v>13.4100000000001</v>
      </c>
      <c r="F28" s="26" t="n">
        <f aca="false">IF($D$3-B28=0,"-",$B$3/C28-1)</f>
        <v>0.806859897846311</v>
      </c>
      <c r="G28" s="26" t="n">
        <f aca="false">IF($D$3-B28=0,"-",LN($B$3/C28)/($D$3-B28))</f>
        <v>0.0441156208494923</v>
      </c>
    </row>
    <row r="29" customFormat="false" ht="15" hidden="false" customHeight="false" outlineLevel="0" collapsed="false">
      <c r="A29" s="18" t="n">
        <v>2013</v>
      </c>
      <c r="B29" s="19" t="n">
        <v>2014</v>
      </c>
      <c r="C29" s="20" t="n">
        <v>2115.98</v>
      </c>
      <c r="D29" s="21" t="n">
        <f aca="false">C29/C28-1</f>
        <v>-0.0674928276476007</v>
      </c>
      <c r="E29" s="22" t="n">
        <f aca="false">$D$3-B29</f>
        <v>12.4100000000001</v>
      </c>
      <c r="F29" s="21" t="n">
        <f aca="false">IF($D$3-B29=0,"-",$B$3/C29-1)</f>
        <v>0.937636461592265</v>
      </c>
      <c r="G29" s="21" t="n">
        <f aca="false">IF($D$3-B29=0,"-",LN($B$3/C29)/($D$3-B29))</f>
        <v>0.0533012821558996</v>
      </c>
    </row>
    <row r="30" customFormat="false" ht="15" hidden="false" customHeight="false" outlineLevel="0" collapsed="false">
      <c r="A30" s="23" t="n">
        <v>2014</v>
      </c>
      <c r="B30" s="24" t="n">
        <v>2015</v>
      </c>
      <c r="C30" s="25" t="n">
        <v>3234.68</v>
      </c>
      <c r="D30" s="26" t="n">
        <f aca="false">C30/C29-1</f>
        <v>0.528691197459333</v>
      </c>
      <c r="E30" s="27" t="n">
        <f aca="false">$D$3-B30</f>
        <v>11.4100000000001</v>
      </c>
      <c r="F30" s="26" t="n">
        <f aca="false">IF($D$3-B30=0,"-",$B$3/C30-1)</f>
        <v>0.267513324347385</v>
      </c>
      <c r="G30" s="26" t="n">
        <f aca="false">IF($D$3-B30=0,"-",LN($B$3/C30)/($D$3-B30))</f>
        <v>0.0207762461642046</v>
      </c>
    </row>
    <row r="31" customFormat="false" ht="15" hidden="false" customHeight="false" outlineLevel="0" collapsed="false">
      <c r="A31" s="28" t="n">
        <v>2015</v>
      </c>
      <c r="B31" s="29" t="n">
        <v>2016</v>
      </c>
      <c r="C31" s="30" t="n">
        <v>3539.18</v>
      </c>
      <c r="D31" s="31" t="n">
        <f aca="false">C31/C30-1</f>
        <v>0.0941360505521411</v>
      </c>
      <c r="E31" s="32" t="n">
        <f aca="false">$D$3-B31</f>
        <v>10.4100000000001</v>
      </c>
      <c r="F31" s="31" t="n">
        <f aca="false">IF($D$3-B31=0,"-",$B$3/C31-1)</f>
        <v>0.158460434337897</v>
      </c>
      <c r="G31" s="31" t="n">
        <f aca="false">IF($D$3-B31=0,"-",LN($B$3/C31)/($D$3-B31))</f>
        <v>0.0141298666488933</v>
      </c>
    </row>
    <row r="32" customFormat="false" ht="15" hidden="false" customHeight="false" outlineLevel="0" collapsed="false">
      <c r="A32" s="23" t="n">
        <v>2016</v>
      </c>
      <c r="B32" s="24" t="n">
        <v>2017</v>
      </c>
      <c r="C32" s="25" t="n">
        <v>3103.64</v>
      </c>
      <c r="D32" s="26" t="n">
        <f aca="false">C32/C31-1</f>
        <v>-0.123062404285738</v>
      </c>
      <c r="E32" s="27" t="n">
        <f aca="false">$D$3-B32</f>
        <v>9.41000000000008</v>
      </c>
      <c r="F32" s="26" t="n">
        <f aca="false">IF($D$3-B32=0,"-",$B$3/C32-1)</f>
        <v>0.32102950084417</v>
      </c>
      <c r="G32" s="26" t="n">
        <f aca="false">IF($D$3-B32=0,"-",LN($B$3/C32)/($D$3-B32))</f>
        <v>0.0295867542504633</v>
      </c>
    </row>
    <row r="33" customFormat="false" ht="15" hidden="false" customHeight="false" outlineLevel="0" collapsed="false">
      <c r="A33" s="18" t="n">
        <v>2017</v>
      </c>
      <c r="B33" s="19" t="n">
        <v>2018</v>
      </c>
      <c r="C33" s="20" t="n">
        <v>3307.17</v>
      </c>
      <c r="D33" s="21" t="n">
        <f aca="false">C33/C32-1</f>
        <v>0.0655778376358083</v>
      </c>
      <c r="E33" s="22" t="n">
        <f aca="false">$D$3-B33</f>
        <v>8.41000000000008</v>
      </c>
      <c r="F33" s="21" t="n">
        <f aca="false">IF($D$3-B33=0,"-",$B$3/C33-1)</f>
        <v>0.239730645839192</v>
      </c>
      <c r="G33" s="21" t="n">
        <f aca="false">IF($D$3-B33=0,"-",LN($B$3/C33)/($D$3-B33))</f>
        <v>0.0255522158054218</v>
      </c>
    </row>
    <row r="34" customFormat="false" ht="15" hidden="false" customHeight="false" outlineLevel="0" collapsed="false">
      <c r="A34" s="23" t="n">
        <v>2018</v>
      </c>
      <c r="B34" s="24" t="n">
        <v>2019</v>
      </c>
      <c r="C34" s="25" t="n">
        <v>2493.9</v>
      </c>
      <c r="D34" s="26" t="n">
        <f aca="false">C34/C33-1</f>
        <v>-0.245911156668693</v>
      </c>
      <c r="E34" s="27" t="n">
        <f aca="false">$D$3-B34</f>
        <v>7.41000000000008</v>
      </c>
      <c r="F34" s="26" t="n">
        <f aca="false">IF($D$3-B34=0,"-",$B$3/C34-1)</f>
        <v>0.644011387786198</v>
      </c>
      <c r="G34" s="26" t="n">
        <f aca="false">IF($D$3-B34=0,"-",LN($B$3/C34)/($D$3-B34))</f>
        <v>0.0670903135610313</v>
      </c>
    </row>
    <row r="35" customFormat="false" ht="15" hidden="false" customHeight="false" outlineLevel="0" collapsed="false">
      <c r="A35" s="18" t="n">
        <v>2019</v>
      </c>
      <c r="B35" s="19" t="n">
        <v>2020</v>
      </c>
      <c r="C35" s="20" t="n">
        <v>3050.12</v>
      </c>
      <c r="D35" s="21" t="n">
        <f aca="false">C35/C34-1</f>
        <v>0.223032198564497</v>
      </c>
      <c r="E35" s="22" t="n">
        <f aca="false">$D$3-B35</f>
        <v>6.41000000000008</v>
      </c>
      <c r="F35" s="21" t="n">
        <f aca="false">IF($D$3-B35=0,"-",$B$3/C35-1)</f>
        <v>0.344209408154433</v>
      </c>
      <c r="G35" s="21" t="n">
        <f aca="false">IF($D$3-B35=0,"-",LN($B$3/C35)/($D$3-B35))</f>
        <v>0.0461475880815302</v>
      </c>
    </row>
    <row r="36" customFormat="false" ht="15" hidden="false" customHeight="false" outlineLevel="0" collapsed="false">
      <c r="A36" s="23" t="n">
        <v>2020</v>
      </c>
      <c r="B36" s="24" t="n">
        <v>2021</v>
      </c>
      <c r="C36" s="25" t="n">
        <v>3473.07</v>
      </c>
      <c r="D36" s="26" t="n">
        <f aca="false">C36/C35-1</f>
        <v>0.138666675409492</v>
      </c>
      <c r="E36" s="27" t="n">
        <f aca="false">$D$3-B36</f>
        <v>5.41000000000008</v>
      </c>
      <c r="F36" s="26" t="n">
        <f aca="false">IF($D$3-B36=0,"-",$B$3/C36-1)</f>
        <v>0.180511766247153</v>
      </c>
      <c r="G36" s="26" t="n">
        <f aca="false">IF($D$3-B36=0,"-",LN($B$3/C36)/($D$3-B36))</f>
        <v>0.0306743150954289</v>
      </c>
    </row>
    <row r="37" customFormat="false" ht="15" hidden="false" customHeight="false" outlineLevel="0" collapsed="false">
      <c r="A37" s="18" t="n">
        <v>2021</v>
      </c>
      <c r="B37" s="19" t="n">
        <v>2022</v>
      </c>
      <c r="C37" s="20" t="n">
        <v>3639.78</v>
      </c>
      <c r="D37" s="21" t="n">
        <f aca="false">C37/C36-1</f>
        <v>0.0480007601344057</v>
      </c>
      <c r="E37" s="22" t="n">
        <f aca="false">$D$3-B37</f>
        <v>4.41000000000008</v>
      </c>
      <c r="F37" s="21" t="n">
        <f aca="false">IF($D$3-B37=0,"-",$B$3/C37-1)</f>
        <v>0.12644170801532</v>
      </c>
      <c r="G37" s="21" t="n">
        <f aca="false">IF($D$3-B37=0,"-",LN($B$3/C37)/($D$3-B37))</f>
        <v>0.0269985790132866</v>
      </c>
    </row>
    <row r="38" customFormat="false" ht="15" hidden="false" customHeight="false" outlineLevel="0" collapsed="false">
      <c r="A38" s="23" t="n">
        <v>2022</v>
      </c>
      <c r="B38" s="24" t="n">
        <v>2023</v>
      </c>
      <c r="C38" s="25" t="n">
        <v>3089.26</v>
      </c>
      <c r="D38" s="26" t="n">
        <f aca="false">C38/C37-1</f>
        <v>-0.151250899779657</v>
      </c>
      <c r="E38" s="27" t="n">
        <f aca="false">$D$3-B38</f>
        <v>3.41000000000008</v>
      </c>
      <c r="F38" s="26" t="n">
        <f aca="false">IF($D$3-B38=0,"-",$B$3/C38-1)</f>
        <v>0.327178677094191</v>
      </c>
      <c r="G38" s="26" t="n">
        <f aca="false">IF($D$3-B38=0,"-",LN($B$3/C38)/($D$3-B38))</f>
        <v>0.083007446827475</v>
      </c>
    </row>
    <row r="39" customFormat="false" ht="15" hidden="false" customHeight="false" outlineLevel="0" collapsed="false">
      <c r="A39" s="18" t="n">
        <v>2023</v>
      </c>
      <c r="B39" s="19" t="n">
        <v>2024</v>
      </c>
      <c r="C39" s="20" t="n">
        <v>2974.93</v>
      </c>
      <c r="D39" s="21" t="n">
        <f aca="false">C39/C38-1</f>
        <v>-0.0370088629639462</v>
      </c>
      <c r="E39" s="22" t="n">
        <f aca="false">$D$3-B39</f>
        <v>2.41000000000008</v>
      </c>
      <c r="F39" s="21" t="n">
        <f aca="false">IF($D$3-B39=0,"-",$B$3/C39-1)</f>
        <v>0.378183688355692</v>
      </c>
      <c r="G39" s="21" t="n">
        <f aca="false">IF($D$3-B39=0,"-",LN($B$3/C39)/($D$3-B39))</f>
        <v>0.133098118008815</v>
      </c>
    </row>
    <row r="40" customFormat="false" ht="15" hidden="false" customHeight="false" outlineLevel="0" collapsed="false">
      <c r="A40" s="23" t="n">
        <v>2024</v>
      </c>
      <c r="B40" s="24" t="n">
        <v>2025</v>
      </c>
      <c r="C40" s="25" t="n">
        <v>3351.76</v>
      </c>
      <c r="D40" s="26" t="n">
        <f aca="false">C40/C39-1</f>
        <v>0.126668526654409</v>
      </c>
      <c r="E40" s="27" t="n">
        <f aca="false">$D$3-B40</f>
        <v>1.41000000000008</v>
      </c>
      <c r="F40" s="26" t="n">
        <f aca="false">IF($D$3-B40=0,"-",$B$3/C40-1)</f>
        <v>0.223237940664009</v>
      </c>
      <c r="G40" s="26" t="n">
        <f aca="false">IF($D$3-B40=0,"-",LN($B$3/C40)/($D$3-B40))</f>
        <v>0.142908789148293</v>
      </c>
    </row>
    <row r="41" customFormat="false" ht="15" hidden="false" customHeight="false" outlineLevel="0" collapsed="false">
      <c r="A41" s="18" t="n">
        <v>2025</v>
      </c>
      <c r="B41" s="19" t="n">
        <v>2026</v>
      </c>
      <c r="C41" s="20" t="n">
        <v>3968.84</v>
      </c>
      <c r="D41" s="21" t="n">
        <f aca="false">C41/C40-1</f>
        <v>0.184106260591451</v>
      </c>
      <c r="E41" s="22" t="n">
        <f aca="false">$D$3-B41</f>
        <v>0.410000000000082</v>
      </c>
      <c r="F41" s="21" t="n">
        <f aca="false">IF($D$3-B41=0,"-",$B$3/C41-1)</f>
        <v>0.0330474395541267</v>
      </c>
      <c r="G41" s="21" t="n">
        <f aca="false">IF($D$3-B41=0,"-",LN($B$3/C41)/($D$3-B41))</f>
        <v>0.079300275958926</v>
      </c>
    </row>
    <row r="42" customFormat="false" ht="15" hidden="false" customHeight="false" outlineLevel="0" collapsed="false">
      <c r="A42" s="13" t="n">
        <v>2026</v>
      </c>
      <c r="B42" s="14" t="n">
        <v>2026.41</v>
      </c>
      <c r="C42" s="15" t="n">
        <v>4100</v>
      </c>
      <c r="D42" s="16" t="n">
        <f aca="false">C42/C41-1</f>
        <v>0.0330474395541267</v>
      </c>
      <c r="E42" s="17" t="n">
        <f aca="false">$D$3-B42</f>
        <v>0</v>
      </c>
      <c r="F42" s="16" t="str">
        <f aca="false">IF($D$3-B42=0,"-",$B$3/C42-1)</f>
        <v>-</v>
      </c>
      <c r="G42" s="16" t="str">
        <f aca="false">IF($D$3-B42=0,"-",LN($B$3/C42)/($D$3-B42))</f>
        <v>-</v>
      </c>
    </row>
    <row r="44" customFormat="false" ht="15" hidden="false" customHeight="true" outlineLevel="0" collapsed="false">
      <c r="A44" s="33" t="s">
        <v>26</v>
      </c>
      <c r="B44" s="33"/>
      <c r="C44" s="33"/>
      <c r="D44" s="33"/>
      <c r="E44" s="33"/>
      <c r="F44" s="33"/>
      <c r="G44" s="33"/>
    </row>
    <row r="45" customFormat="false" ht="15" hidden="false" customHeight="true" outlineLevel="0" collapsed="false">
      <c r="A45" s="33" t="s">
        <v>27</v>
      </c>
      <c r="B45" s="33"/>
      <c r="C45" s="33"/>
      <c r="D45" s="33"/>
      <c r="E45" s="33"/>
      <c r="F45" s="33"/>
      <c r="G45" s="33"/>
    </row>
  </sheetData>
  <mergeCells count="4">
    <mergeCell ref="A1:G1"/>
    <mergeCell ref="A2:G2"/>
    <mergeCell ref="A44:G44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3.1" hidden="false" customHeight="false" outlineLevel="0" collapsed="false">
      <c r="A1" s="7" t="s">
        <v>28</v>
      </c>
      <c r="B1" s="7"/>
      <c r="C1" s="7"/>
      <c r="D1" s="7"/>
      <c r="E1" s="7"/>
      <c r="F1" s="7"/>
      <c r="G1" s="7"/>
    </row>
    <row r="2" customFormat="false" ht="14.15" hidden="false" customHeight="false" outlineLevel="0" collapsed="false">
      <c r="A2" s="8" t="s">
        <v>29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9" t="s">
        <v>17</v>
      </c>
      <c r="B3" s="10" t="n">
        <v>4100</v>
      </c>
    </row>
    <row r="5" customFormat="false" ht="25.5" hidden="false" customHeight="true" outlineLevel="0" collapsed="false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24</v>
      </c>
      <c r="F5" s="12" t="s">
        <v>25</v>
      </c>
      <c r="G5" s="12" t="s">
        <v>34</v>
      </c>
    </row>
    <row r="6" customFormat="false" ht="15" hidden="false" customHeight="false" outlineLevel="0" collapsed="false">
      <c r="A6" s="34" t="s">
        <v>35</v>
      </c>
      <c r="B6" s="24" t="n">
        <v>1990.96</v>
      </c>
      <c r="C6" s="25" t="n">
        <v>100</v>
      </c>
      <c r="D6" s="27" t="n">
        <f aca="false">2026.41-B6</f>
        <v>35.45</v>
      </c>
      <c r="E6" s="26" t="n">
        <f aca="false">IF(2026.41-B6=0,"-",$B$3/C6-1)</f>
        <v>40</v>
      </c>
      <c r="F6" s="26" t="n">
        <f aca="false">IF(2026.41-B6=0,"-",LN($B$3/C6)/(2026.41-B6))</f>
        <v>0.104755206395044</v>
      </c>
      <c r="G6" s="35" t="s">
        <v>36</v>
      </c>
    </row>
    <row r="7" customFormat="false" ht="15" hidden="false" customHeight="false" outlineLevel="0" collapsed="false">
      <c r="A7" s="36" t="s">
        <v>37</v>
      </c>
      <c r="B7" s="19" t="n">
        <v>1992.4</v>
      </c>
      <c r="C7" s="20" t="n">
        <v>1429</v>
      </c>
      <c r="D7" s="22" t="n">
        <f aca="false">2026.41-B7</f>
        <v>34.01</v>
      </c>
      <c r="E7" s="21" t="n">
        <f aca="false">IF(2026.41-B7=0,"-",$B$3/C7-1)</f>
        <v>1.86913925822253</v>
      </c>
      <c r="F7" s="21" t="n">
        <f aca="false">IF(2026.41-B7=0,"-",LN($B$3/C7)/(2026.41-B7))</f>
        <v>0.0309912400694658</v>
      </c>
      <c r="G7" s="37" t="s">
        <v>38</v>
      </c>
    </row>
    <row r="8" customFormat="false" ht="15" hidden="false" customHeight="false" outlineLevel="0" collapsed="false">
      <c r="A8" s="38" t="s">
        <v>39</v>
      </c>
      <c r="B8" s="24" t="n">
        <v>1994.57</v>
      </c>
      <c r="C8" s="25" t="n">
        <v>325.89</v>
      </c>
      <c r="D8" s="27" t="n">
        <f aca="false">2026.41-B8</f>
        <v>31.8400000000001</v>
      </c>
      <c r="E8" s="26" t="n">
        <f aca="false">IF(2026.41-B8=0,"-",$B$3/C8-1)</f>
        <v>11.580932216392</v>
      </c>
      <c r="F8" s="26" t="n">
        <f aca="false">IF(2026.41-B8=0,"-",LN($B$3/C8)/(2026.41-B8))</f>
        <v>0.0795283401877707</v>
      </c>
      <c r="G8" s="35" t="s">
        <v>40</v>
      </c>
    </row>
    <row r="9" customFormat="false" ht="15" hidden="false" customHeight="false" outlineLevel="0" collapsed="false">
      <c r="A9" s="39" t="s">
        <v>41</v>
      </c>
      <c r="B9" s="19" t="n">
        <v>2001.45</v>
      </c>
      <c r="C9" s="20" t="n">
        <v>2245.43</v>
      </c>
      <c r="D9" s="22" t="n">
        <f aca="false">2026.41-B9</f>
        <v>24.96</v>
      </c>
      <c r="E9" s="21" t="n">
        <f aca="false">IF(2026.41-B9=0,"-",$B$3/C9-1)</f>
        <v>0.825930890742531</v>
      </c>
      <c r="F9" s="21" t="n">
        <f aca="false">IF(2026.41-B9=0,"-",LN($B$3/C9)/(2026.41-B9))</f>
        <v>0.0241221928729381</v>
      </c>
      <c r="G9" s="37" t="s">
        <v>38</v>
      </c>
    </row>
    <row r="10" customFormat="false" ht="15" hidden="false" customHeight="false" outlineLevel="0" collapsed="false">
      <c r="A10" s="40" t="s">
        <v>42</v>
      </c>
      <c r="B10" s="14" t="n">
        <v>2005.43</v>
      </c>
      <c r="C10" s="15" t="n">
        <v>998.23</v>
      </c>
      <c r="D10" s="17" t="n">
        <f aca="false">2026.41-B10</f>
        <v>20.98</v>
      </c>
      <c r="E10" s="16" t="n">
        <f aca="false">IF(2026.41-B10=0,"-",$B$3/C10-1)</f>
        <v>3.10726986766577</v>
      </c>
      <c r="F10" s="16" t="n">
        <f aca="false">IF(2026.41-B10=0,"-",LN($B$3/C10)/(2026.41-B10))</f>
        <v>0.0673383480462883</v>
      </c>
      <c r="G10" s="41" t="s">
        <v>43</v>
      </c>
    </row>
    <row r="11" customFormat="false" ht="15" hidden="false" customHeight="false" outlineLevel="0" collapsed="false">
      <c r="A11" s="42" t="s">
        <v>44</v>
      </c>
      <c r="B11" s="29" t="n">
        <v>2007.79</v>
      </c>
      <c r="C11" s="30" t="n">
        <v>6124.04</v>
      </c>
      <c r="D11" s="32" t="n">
        <f aca="false">2026.41-B11</f>
        <v>18.6200000000001</v>
      </c>
      <c r="E11" s="31" t="n">
        <f aca="false">IF(2026.41-B11=0,"-",$B$3/C11-1)</f>
        <v>-0.330507312166478</v>
      </c>
      <c r="F11" s="31" t="n">
        <f aca="false">IF(2026.41-B11=0,"-",LN($B$3/C11)/(2026.41-B11))</f>
        <v>-0.0215486055715619</v>
      </c>
      <c r="G11" s="43" t="s">
        <v>45</v>
      </c>
    </row>
    <row r="12" customFormat="false" ht="15" hidden="false" customHeight="false" outlineLevel="0" collapsed="false">
      <c r="A12" s="40" t="s">
        <v>46</v>
      </c>
      <c r="B12" s="14" t="n">
        <v>2008.82</v>
      </c>
      <c r="C12" s="15" t="n">
        <v>1664.93</v>
      </c>
      <c r="D12" s="17" t="n">
        <f aca="false">2026.41-B12</f>
        <v>17.5900000000001</v>
      </c>
      <c r="E12" s="16" t="n">
        <f aca="false">IF(2026.41-B12=0,"-",$B$3/C12-1)</f>
        <v>1.4625659937655</v>
      </c>
      <c r="F12" s="16" t="n">
        <f aca="false">IF(2026.41-B12=0,"-",LN($B$3/C12)/(2026.41-B12))</f>
        <v>0.0512338768165822</v>
      </c>
      <c r="G12" s="41" t="s">
        <v>43</v>
      </c>
    </row>
    <row r="13" customFormat="false" ht="15" hidden="false" customHeight="false" outlineLevel="0" collapsed="false">
      <c r="A13" s="36" t="s">
        <v>47</v>
      </c>
      <c r="B13" s="19" t="n">
        <v>2009.59</v>
      </c>
      <c r="C13" s="20" t="n">
        <v>3478.01</v>
      </c>
      <c r="D13" s="22" t="n">
        <f aca="false">2026.41-B13</f>
        <v>16.8200000000002</v>
      </c>
      <c r="E13" s="21" t="n">
        <f aca="false">IF(2026.41-B13=0,"-",$B$3/C13-1)</f>
        <v>0.178835023476068</v>
      </c>
      <c r="F13" s="21" t="n">
        <f aca="false">IF(2026.41-B13=0,"-",LN($B$3/C13)/(2026.41-B13))</f>
        <v>0.00978161014070519</v>
      </c>
      <c r="G13" s="37" t="s">
        <v>48</v>
      </c>
    </row>
    <row r="14" customFormat="false" ht="15" hidden="false" customHeight="false" outlineLevel="0" collapsed="false">
      <c r="A14" s="38" t="s">
        <v>49</v>
      </c>
      <c r="B14" s="24" t="n">
        <v>2013.48</v>
      </c>
      <c r="C14" s="25" t="n">
        <v>1849.65</v>
      </c>
      <c r="D14" s="27" t="n">
        <f aca="false">2026.41-B14</f>
        <v>12.9300000000001</v>
      </c>
      <c r="E14" s="26" t="n">
        <f aca="false">IF(2026.41-B14=0,"-",$B$3/C14-1)</f>
        <v>1.21663557970427</v>
      </c>
      <c r="F14" s="26" t="n">
        <f aca="false">IF(2026.41-B14=0,"-",LN($B$3/C14)/(2026.41-B14))</f>
        <v>0.0615615268142108</v>
      </c>
      <c r="G14" s="35" t="s">
        <v>40</v>
      </c>
    </row>
    <row r="15" customFormat="false" ht="15" hidden="false" customHeight="false" outlineLevel="0" collapsed="false">
      <c r="A15" s="42" t="s">
        <v>50</v>
      </c>
      <c r="B15" s="29" t="n">
        <v>2015.45</v>
      </c>
      <c r="C15" s="30" t="n">
        <v>5178.19</v>
      </c>
      <c r="D15" s="32" t="n">
        <f aca="false">2026.41-B15</f>
        <v>10.96</v>
      </c>
      <c r="E15" s="31" t="n">
        <f aca="false">IF(2026.41-B15=0,"-",$B$3/C15-1)</f>
        <v>-0.208217543195595</v>
      </c>
      <c r="F15" s="31" t="n">
        <f aca="false">IF(2026.41-B15=0,"-",LN($B$3/C15)/(2026.41-B15))</f>
        <v>-0.021301879621352</v>
      </c>
      <c r="G15" s="43" t="s">
        <v>45</v>
      </c>
    </row>
    <row r="16" customFormat="false" ht="15" hidden="false" customHeight="false" outlineLevel="0" collapsed="false">
      <c r="A16" s="34" t="s">
        <v>51</v>
      </c>
      <c r="B16" s="24" t="n">
        <v>2016.07</v>
      </c>
      <c r="C16" s="25" t="n">
        <v>2638.3</v>
      </c>
      <c r="D16" s="27" t="n">
        <f aca="false">2026.41-B16</f>
        <v>10.3400000000001</v>
      </c>
      <c r="E16" s="26" t="n">
        <f aca="false">IF(2026.41-B16=0,"-",$B$3/C16-1)</f>
        <v>0.554031004813706</v>
      </c>
      <c r="F16" s="26" t="n">
        <f aca="false">IF(2026.41-B16=0,"-",LN($B$3/C16)/(2026.41-B16))</f>
        <v>0.0426356096096702</v>
      </c>
      <c r="G16" s="35" t="s">
        <v>40</v>
      </c>
    </row>
    <row r="17" customFormat="false" ht="15" hidden="false" customHeight="false" outlineLevel="0" collapsed="false">
      <c r="A17" s="39" t="s">
        <v>52</v>
      </c>
      <c r="B17" s="19" t="n">
        <v>2019.01</v>
      </c>
      <c r="C17" s="20" t="n">
        <v>2440.91</v>
      </c>
      <c r="D17" s="22" t="n">
        <f aca="false">2026.41-B17</f>
        <v>7.40000000000009</v>
      </c>
      <c r="E17" s="21" t="n">
        <f aca="false">IF(2026.41-B17=0,"-",$B$3/C17-1)</f>
        <v>0.67970142283001</v>
      </c>
      <c r="F17" s="21" t="n">
        <f aca="false">IF(2026.41-B17=0,"-",LN($B$3/C17)/(2026.41-B17))</f>
        <v>0.0700832504208572</v>
      </c>
      <c r="G17" s="37" t="s">
        <v>40</v>
      </c>
    </row>
    <row r="18" customFormat="false" ht="15" hidden="false" customHeight="false" outlineLevel="0" collapsed="false">
      <c r="A18" s="38" t="s">
        <v>53</v>
      </c>
      <c r="B18" s="24" t="n">
        <v>2024.72</v>
      </c>
      <c r="C18" s="25" t="n">
        <v>2689.7</v>
      </c>
      <c r="D18" s="27" t="n">
        <f aca="false">2026.41-B18</f>
        <v>1.69000000000005</v>
      </c>
      <c r="E18" s="26" t="n">
        <f aca="false">IF(2026.41-B18=0,"-",$B$3/C18-1)</f>
        <v>0.524333568799495</v>
      </c>
      <c r="F18" s="26" t="n">
        <f aca="false">IF(2026.41-B18=0,"-",LN($B$3/C18)/(2026.41-B18))</f>
        <v>0.249442195549912</v>
      </c>
      <c r="G18" s="35" t="s">
        <v>40</v>
      </c>
    </row>
    <row r="19" customFormat="false" ht="15" hidden="false" customHeight="false" outlineLevel="0" collapsed="false">
      <c r="A19" s="36" t="s">
        <v>54</v>
      </c>
      <c r="B19" s="19" t="n">
        <v>2026.41</v>
      </c>
      <c r="C19" s="20" t="n">
        <v>4100</v>
      </c>
      <c r="D19" s="22" t="n">
        <f aca="false">2026.41-B19</f>
        <v>0</v>
      </c>
      <c r="E19" s="21" t="str">
        <f aca="false">IF(2026.41-B19=0,"-",$B$3/C19-1)</f>
        <v>-</v>
      </c>
      <c r="F19" s="21" t="str">
        <f aca="false">IF(2026.41-B19=0,"-",LN($B$3/C19)/(2026.41-B19))</f>
        <v>-</v>
      </c>
      <c r="G19" s="37" t="s">
        <v>55</v>
      </c>
    </row>
    <row r="21" customFormat="false" ht="15" hidden="false" customHeight="true" outlineLevel="0" collapsed="false">
      <c r="A21" s="33" t="s">
        <v>56</v>
      </c>
      <c r="B21" s="33"/>
      <c r="C21" s="33"/>
      <c r="D21" s="33"/>
      <c r="E21" s="33"/>
      <c r="F21" s="33"/>
      <c r="G21" s="33"/>
    </row>
    <row r="22" customFormat="false" ht="15" hidden="false" customHeight="true" outlineLevel="0" collapsed="false">
      <c r="A22" s="33" t="s">
        <v>57</v>
      </c>
      <c r="B22" s="33"/>
      <c r="C22" s="33"/>
      <c r="D22" s="33"/>
      <c r="E22" s="33"/>
      <c r="F22" s="33"/>
      <c r="G22" s="33"/>
    </row>
  </sheetData>
  <mergeCells count="4">
    <mergeCell ref="A1:G1"/>
    <mergeCell ref="A2:G2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23.1" hidden="false" customHeight="false" outlineLevel="0" collapsed="false">
      <c r="A1" s="7" t="s">
        <v>58</v>
      </c>
      <c r="B1" s="7"/>
      <c r="C1" s="7"/>
      <c r="D1" s="7"/>
      <c r="E1" s="7"/>
    </row>
    <row r="3" customFormat="false" ht="17.15" hidden="false" customHeight="false" outlineLevel="0" collapsed="false">
      <c r="A3" s="44" t="s">
        <v>59</v>
      </c>
      <c r="B3" s="44"/>
      <c r="C3" s="44"/>
      <c r="D3" s="44"/>
      <c r="E3" s="44"/>
    </row>
    <row r="4" customFormat="false" ht="15" hidden="false" customHeight="false" outlineLevel="0" collapsed="false">
      <c r="A4" s="45" t="s">
        <v>60</v>
      </c>
      <c r="B4" s="46" t="n">
        <v>6124</v>
      </c>
    </row>
    <row r="5" customFormat="false" ht="15" hidden="false" customHeight="false" outlineLevel="0" collapsed="false">
      <c r="A5" s="9" t="s">
        <v>61</v>
      </c>
      <c r="B5" s="46" t="n">
        <v>4100</v>
      </c>
    </row>
    <row r="6" customFormat="false" ht="15" hidden="false" customHeight="false" outlineLevel="0" collapsed="false">
      <c r="A6" s="45" t="s">
        <v>62</v>
      </c>
      <c r="B6" s="47" t="n">
        <v>50</v>
      </c>
    </row>
    <row r="7" customFormat="false" ht="15" hidden="false" customHeight="false" outlineLevel="0" collapsed="false">
      <c r="A7" s="9" t="s">
        <v>63</v>
      </c>
      <c r="B7" s="47" t="n">
        <v>14</v>
      </c>
    </row>
    <row r="8" customFormat="false" ht="15" hidden="false" customHeight="false" outlineLevel="0" collapsed="false">
      <c r="A8" s="9" t="s">
        <v>64</v>
      </c>
      <c r="B8" s="47" t="n">
        <v>18.62</v>
      </c>
    </row>
    <row r="9" customFormat="false" ht="15" hidden="false" customHeight="false" outlineLevel="0" collapsed="false">
      <c r="A9" s="9" t="s">
        <v>65</v>
      </c>
      <c r="B9" s="48" t="n">
        <v>0.02</v>
      </c>
    </row>
    <row r="10" customFormat="false" ht="15" hidden="false" customHeight="false" outlineLevel="0" collapsed="false">
      <c r="A10" s="9" t="s">
        <v>66</v>
      </c>
      <c r="B10" s="27" t="n">
        <f aca="false">(B5/B7)/(B4/B6)</f>
        <v>2.39106093123075</v>
      </c>
    </row>
    <row r="11" customFormat="false" ht="15" hidden="false" customHeight="false" outlineLevel="0" collapsed="false">
      <c r="A11" s="9" t="s">
        <v>67</v>
      </c>
      <c r="B11" s="16" t="n">
        <f aca="false">LN((B5/B7)/(B4/B6))/B8</f>
        <v>0.0468172487501457</v>
      </c>
    </row>
    <row r="12" customFormat="false" ht="15" hidden="false" customHeight="false" outlineLevel="0" collapsed="false">
      <c r="A12" s="9" t="s">
        <v>68</v>
      </c>
      <c r="B12" s="31" t="n">
        <f aca="false">LN(B7/B6)/B8</f>
        <v>-0.0683655035345267</v>
      </c>
    </row>
    <row r="13" customFormat="false" ht="15" hidden="false" customHeight="false" outlineLevel="0" collapsed="false">
      <c r="A13" s="9" t="s">
        <v>69</v>
      </c>
      <c r="B13" s="16" t="n">
        <f aca="false">B9</f>
        <v>0.02</v>
      </c>
    </row>
    <row r="14" customFormat="false" ht="15" hidden="false" customHeight="false" outlineLevel="0" collapsed="false">
      <c r="A14" s="9" t="s">
        <v>70</v>
      </c>
      <c r="B14" s="49" t="n">
        <f aca="false">LN((B5/B7)/(B4/B6))/B8+LN(B7/B6)/B8</f>
        <v>-0.0215482547843811</v>
      </c>
    </row>
    <row r="15" customFormat="false" ht="15" hidden="false" customHeight="false" outlineLevel="0" collapsed="false">
      <c r="A15" s="9" t="s">
        <v>71</v>
      </c>
      <c r="B15" s="49" t="n">
        <f aca="false">LN((B5/B7)/(B4/B6))/B8+LN(B7/B6)/B8+B9</f>
        <v>-0.00154825478438106</v>
      </c>
    </row>
    <row r="17" customFormat="false" ht="26.85" hidden="false" customHeight="true" outlineLevel="0" collapsed="false">
      <c r="A17" s="33" t="s">
        <v>72</v>
      </c>
      <c r="B17" s="33"/>
      <c r="C17" s="33"/>
      <c r="D17" s="33"/>
      <c r="E17" s="33"/>
    </row>
    <row r="19" customFormat="false" ht="17.15" hidden="false" customHeight="false" outlineLevel="0" collapsed="false">
      <c r="A19" s="44" t="s">
        <v>73</v>
      </c>
      <c r="B19" s="44"/>
      <c r="C19" s="44"/>
      <c r="D19" s="44"/>
      <c r="E19" s="44"/>
    </row>
    <row r="20" customFormat="false" ht="25.5" hidden="false" customHeight="true" outlineLevel="0" collapsed="false">
      <c r="A20" s="12" t="s">
        <v>74</v>
      </c>
      <c r="B20" s="50" t="s">
        <v>75</v>
      </c>
      <c r="C20" s="50" t="s">
        <v>76</v>
      </c>
      <c r="D20" s="12" t="s">
        <v>77</v>
      </c>
      <c r="E20" s="12" t="s">
        <v>78</v>
      </c>
    </row>
    <row r="21" customFormat="false" ht="15" hidden="false" customHeight="false" outlineLevel="0" collapsed="false">
      <c r="A21" s="36" t="s">
        <v>79</v>
      </c>
      <c r="B21" s="51" t="n">
        <v>1.89</v>
      </c>
      <c r="C21" s="20" t="n">
        <v>141</v>
      </c>
      <c r="D21" s="52" t="n">
        <f aca="false">C21/B21</f>
        <v>74.6031746031746</v>
      </c>
      <c r="E21" s="21" t="n">
        <f aca="false">LN(C21/B21)/35</f>
        <v>0.123205230323046</v>
      </c>
    </row>
    <row r="22" customFormat="false" ht="15" hidden="false" customHeight="false" outlineLevel="0" collapsed="false">
      <c r="A22" s="34" t="s">
        <v>80</v>
      </c>
      <c r="B22" s="25" t="n">
        <v>100</v>
      </c>
      <c r="C22" s="25" t="n">
        <v>3969</v>
      </c>
      <c r="D22" s="53" t="n">
        <f aca="false">C22/B22</f>
        <v>39.69</v>
      </c>
      <c r="E22" s="26" t="n">
        <f aca="false">LN(C22/B22)/35</f>
        <v>0.105174264765571</v>
      </c>
    </row>
    <row r="23" customFormat="false" ht="15" hidden="false" customHeight="false" outlineLevel="0" collapsed="false">
      <c r="A23" s="39" t="s">
        <v>81</v>
      </c>
      <c r="B23" s="51" t="n">
        <v>0.008</v>
      </c>
      <c r="C23" s="20" t="n">
        <v>130</v>
      </c>
      <c r="D23" s="52" t="n">
        <f aca="false">C23/B23</f>
        <v>16250</v>
      </c>
      <c r="E23" s="21" t="n">
        <f aca="false">LN(C23/B23)/35</f>
        <v>0.27702423393594</v>
      </c>
    </row>
    <row r="24" customFormat="false" ht="15" hidden="false" customHeight="false" outlineLevel="0" collapsed="false">
      <c r="A24" s="34" t="s">
        <v>82</v>
      </c>
      <c r="B24" s="54" t="n">
        <v>10</v>
      </c>
      <c r="C24" s="25" t="n">
        <v>5420</v>
      </c>
      <c r="D24" s="53" t="n">
        <f aca="false">C24/B24</f>
        <v>542</v>
      </c>
      <c r="E24" s="26" t="n">
        <f aca="false">LN(C24/B24)/35</f>
        <v>0.179864742898276</v>
      </c>
    </row>
    <row r="26" customFormat="false" ht="26.85" hidden="false" customHeight="true" outlineLevel="0" collapsed="false">
      <c r="A26" s="33" t="s">
        <v>83</v>
      </c>
      <c r="B26" s="33"/>
      <c r="C26" s="33"/>
      <c r="D26" s="33"/>
      <c r="E26" s="33"/>
    </row>
  </sheetData>
  <mergeCells count="5">
    <mergeCell ref="A1:E1"/>
    <mergeCell ref="A3:E3"/>
    <mergeCell ref="A17:E17"/>
    <mergeCell ref="A19:E19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2"/>
  </cols>
  <sheetData>
    <row r="1" customFormat="false" ht="23.1" hidden="false" customHeight="false" outlineLevel="0" collapsed="false">
      <c r="A1" s="7" t="s">
        <v>84</v>
      </c>
      <c r="B1" s="7"/>
      <c r="C1" s="7"/>
    </row>
    <row r="3" customFormat="false" ht="25.5" hidden="false" customHeight="true" outlineLevel="0" collapsed="false">
      <c r="A3" s="12"/>
      <c r="B3" s="12" t="s">
        <v>85</v>
      </c>
      <c r="C3" s="12" t="s">
        <v>86</v>
      </c>
    </row>
    <row r="4" customFormat="false" ht="42" hidden="false" customHeight="true" outlineLevel="0" collapsed="false">
      <c r="B4" s="55" t="s">
        <v>87</v>
      </c>
      <c r="C4" s="56" t="s">
        <v>88</v>
      </c>
    </row>
    <row r="5" customFormat="false" ht="42" hidden="false" customHeight="true" outlineLevel="0" collapsed="false">
      <c r="B5" s="57" t="s">
        <v>89</v>
      </c>
      <c r="C5" s="58" t="s">
        <v>90</v>
      </c>
    </row>
    <row r="6" customFormat="false" ht="42" hidden="false" customHeight="true" outlineLevel="0" collapsed="false">
      <c r="B6" s="55" t="s">
        <v>91</v>
      </c>
      <c r="C6" s="56" t="s">
        <v>92</v>
      </c>
    </row>
    <row r="7" customFormat="false" ht="42" hidden="false" customHeight="true" outlineLevel="0" collapsed="false">
      <c r="B7" s="57" t="s">
        <v>93</v>
      </c>
      <c r="C7" s="58" t="s">
        <v>94</v>
      </c>
    </row>
    <row r="8" customFormat="false" ht="42" hidden="false" customHeight="true" outlineLevel="0" collapsed="false">
      <c r="B8" s="55" t="s">
        <v>95</v>
      </c>
      <c r="C8" s="56" t="s">
        <v>96</v>
      </c>
    </row>
    <row r="9" customFormat="false" ht="42" hidden="false" customHeight="true" outlineLevel="0" collapsed="false">
      <c r="B9" s="57" t="s">
        <v>97</v>
      </c>
      <c r="C9" s="58" t="s">
        <v>98</v>
      </c>
    </row>
    <row r="10" customFormat="false" ht="42" hidden="false" customHeight="true" outlineLevel="0" collapsed="false">
      <c r="B10" s="55" t="s">
        <v>99</v>
      </c>
      <c r="C10" s="56" t="s">
        <v>100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2026-05-30T08:42:58Z</dcterms:created>
  <dc:creator>openpyxl</dc:creator>
  <dc:description/>
  <dc:language>en-US</dc:language>
  <cp:lastModifiedBy/>
  <dcterms:modified xsi:type="dcterms:W3CDTF">2026-05-30T08:43:00Z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