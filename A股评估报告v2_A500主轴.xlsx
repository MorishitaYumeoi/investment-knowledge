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评估报告·结论" sheetId="1" state="visible" r:id="rId3"/>
    <sheet name="主轴全程" sheetId="2" state="visible" r:id="rId4"/>
    <sheet name="现代段对比" sheetId="3" state="visible" r:id="rId5"/>
    <sheet name="基期敏感性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<sst xmlns="http://schemas.openxmlformats.org/spreadsheetml/2006/main" count="103" uniqueCount="74">
  <si>
    <r>
      <rPr>
        <b val="true"/>
        <sz val="15"/>
        <color rgb="FF1F3864"/>
        <rFont val="Arial"/>
        <family val="0"/>
        <charset val="1"/>
      </rPr>
      <t xml:space="preserve">A</t>
    </r>
    <r>
      <rPr>
        <b val="true"/>
        <sz val="15"/>
        <color rgb="FF1F3864"/>
        <rFont val="Noto Sans CJK SC"/>
        <family val="2"/>
      </rPr>
      <t xml:space="preserve">股长期表现评估报告 </t>
    </r>
    <r>
      <rPr>
        <b val="true"/>
        <sz val="15"/>
        <color rgb="FF1F3864"/>
        <rFont val="Arial"/>
        <family val="0"/>
        <charset val="1"/>
      </rPr>
      <t xml:space="preserve">v2 —— </t>
    </r>
    <r>
      <rPr>
        <b val="true"/>
        <sz val="15"/>
        <color rgb="FF1F3864"/>
        <rFont val="Noto Sans CJK SC"/>
        <family val="2"/>
      </rPr>
      <t xml:space="preserve">上证补全程</t>
    </r>
    <r>
      <rPr>
        <b val="true"/>
        <sz val="15"/>
        <color rgb="FF1F3864"/>
        <rFont val="Arial"/>
        <family val="0"/>
        <charset val="1"/>
      </rPr>
      <t xml:space="preserve">·</t>
    </r>
    <r>
      <rPr>
        <b val="true"/>
        <sz val="15"/>
        <color rgb="FF1F3864"/>
        <rFont val="Noto Sans CJK SC"/>
        <family val="2"/>
      </rPr>
      <t xml:space="preserve">中证</t>
    </r>
    <r>
      <rPr>
        <b val="true"/>
        <sz val="15"/>
        <color rgb="FF1F3864"/>
        <rFont val="Arial"/>
        <family val="0"/>
        <charset val="1"/>
      </rPr>
      <t xml:space="preserve">A500</t>
    </r>
    <r>
      <rPr>
        <b val="true"/>
        <sz val="15"/>
        <color rgb="FF1F3864"/>
        <rFont val="Noto Sans CJK SC"/>
        <family val="2"/>
      </rPr>
      <t xml:space="preserve">为现代主轴</t>
    </r>
  </si>
  <si>
    <r>
      <rPr>
        <i val="true"/>
        <sz val="9"/>
        <color rgb="FF595959"/>
        <rFont val="Noto Sans CJK SC"/>
        <family val="2"/>
      </rPr>
      <t xml:space="preserve">方法：年化连续复利 </t>
    </r>
    <r>
      <rPr>
        <i val="true"/>
        <sz val="9"/>
        <color rgb="FF595959"/>
        <rFont val="Arial"/>
        <family val="0"/>
        <charset val="1"/>
      </rPr>
      <t xml:space="preserve">r=(1/n)·ln(S_T/S_0)</t>
    </r>
    <r>
      <rPr>
        <i val="true"/>
        <sz val="9"/>
        <color rgb="FF595959"/>
        <rFont val="Noto Sans CJK SC"/>
        <family val="2"/>
      </rPr>
      <t xml:space="preserve">，终点统一取 </t>
    </r>
    <r>
      <rPr>
        <i val="true"/>
        <sz val="9"/>
        <color rgb="FF595959"/>
        <rFont val="Arial"/>
        <family val="0"/>
        <charset val="1"/>
      </rPr>
      <t xml:space="preserve">2026</t>
    </r>
    <r>
      <rPr>
        <i val="true"/>
        <sz val="9"/>
        <color rgb="FF595959"/>
        <rFont val="Noto Sans CJK SC"/>
        <family val="2"/>
      </rPr>
      <t xml:space="preserve">年</t>
    </r>
    <r>
      <rPr>
        <i val="true"/>
        <sz val="9"/>
        <color rgb="FF595959"/>
        <rFont val="Arial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月。口径统一为价格指数</t>
    </r>
    <r>
      <rPr>
        <i val="true"/>
        <sz val="9"/>
        <color rgb="FF595959"/>
        <rFont val="Arial"/>
        <family val="0"/>
        <charset val="1"/>
      </rPr>
      <t xml:space="preserve">(A500</t>
    </r>
    <r>
      <rPr>
        <i val="true"/>
        <sz val="9"/>
        <color rgb="FF595959"/>
        <rFont val="Noto Sans CJK SC"/>
        <family val="2"/>
      </rPr>
      <t xml:space="preserve">与上证同口径，公平可比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。</t>
    </r>
  </si>
  <si>
    <r>
      <rPr>
        <b val="true"/>
        <sz val="10"/>
        <color rgb="FF9C2D2D"/>
        <rFont val="Noto Sans CJK SC"/>
        <family val="2"/>
      </rPr>
      <t xml:space="preserve">⚠ 必读：关于中证</t>
    </r>
    <r>
      <rPr>
        <b val="true"/>
        <sz val="10"/>
        <color rgb="FF9C2D2D"/>
        <rFont val="Arial"/>
        <family val="0"/>
        <charset val="1"/>
      </rPr>
      <t xml:space="preserve">A500</t>
    </r>
    <r>
      <rPr>
        <b val="true"/>
        <sz val="10"/>
        <color rgb="FF9C2D2D"/>
        <rFont val="Noto Sans CJK SC"/>
        <family val="2"/>
      </rPr>
      <t xml:space="preserve">的</t>
    </r>
    <r>
      <rPr>
        <b val="true"/>
        <sz val="10"/>
        <color rgb="FF9C2D2D"/>
        <rFont val="Arial"/>
        <family val="0"/>
        <charset val="1"/>
      </rPr>
      <t xml:space="preserve">"</t>
    </r>
    <r>
      <rPr>
        <b val="true"/>
        <sz val="10"/>
        <color rgb="FF9C2D2D"/>
        <rFont val="Noto Sans CJK SC"/>
        <family val="2"/>
      </rPr>
      <t xml:space="preserve">历史</t>
    </r>
    <r>
      <rPr>
        <b val="true"/>
        <sz val="10"/>
        <color rgb="FF9C2D2D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</si>
  <si>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中证</t>
    </r>
    <r>
      <rPr>
        <sz val="10"/>
        <color rgb="FF000000"/>
        <rFont val="Arial"/>
        <family val="0"/>
        <charset val="1"/>
      </rPr>
      <t xml:space="preserve">A500</t>
    </r>
    <r>
      <rPr>
        <sz val="10"/>
        <color rgb="FF000000"/>
        <rFont val="Noto Sans CJK SC"/>
        <family val="2"/>
      </rPr>
      <t xml:space="preserve">指数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日才发布，其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月之前的全部点位都是发布时用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今天的选股规则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反推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回测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出来的，并非当年真实可投资的曲线。回测天然偏向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后来胜出的公司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，存在幸存者偏差。本报告把</t>
    </r>
    <r>
      <rPr>
        <sz val="10"/>
        <color rgb="FF000000"/>
        <rFont val="Arial"/>
        <family val="0"/>
        <charset val="1"/>
      </rPr>
      <t xml:space="preserve">A500</t>
    </r>
    <r>
      <rPr>
        <sz val="10"/>
        <color rgb="FF000000"/>
        <rFont val="Noto Sans CJK SC"/>
        <family val="2"/>
      </rPr>
      <t xml:space="preserve">曲线分两段：</t>
    </r>
    <r>
      <rPr>
        <sz val="10"/>
        <color rgb="FF000000"/>
        <rFont val="Arial"/>
        <family val="0"/>
        <charset val="1"/>
      </rPr>
      <t xml:space="preserve">2024.9</t>
    </r>
    <r>
      <rPr>
        <sz val="10"/>
        <color rgb="FF000000"/>
        <rFont val="Noto Sans CJK SC"/>
        <family val="2"/>
      </rPr>
      <t xml:space="preserve">前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回测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紫色标注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2024.9</t>
    </r>
    <r>
      <rPr>
        <sz val="10"/>
        <color rgb="FF000000"/>
        <rFont val="Noto Sans CJK SC"/>
        <family val="2"/>
      </rPr>
      <t xml:space="preserve">后</t>
    </r>
    <r>
      <rPr>
        <sz val="10"/>
        <color rgb="FF000000"/>
        <rFont val="Arial"/>
        <family val="0"/>
        <charset val="1"/>
      </rPr>
      <t xml:space="preserve">=</t>
    </r>
    <r>
      <rPr>
        <sz val="10"/>
        <color rgb="FF000000"/>
        <rFont val="Noto Sans CJK SC"/>
        <family val="2"/>
      </rPr>
      <t xml:space="preserve">真实。拿回测段与上证真实历史直接比，须牢记这一点。</t>
    </r>
  </si>
  <si>
    <r>
      <rPr>
        <b val="true"/>
        <sz val="11"/>
        <color rgb="FF1F3864"/>
        <rFont val="Noto Sans CJK SC"/>
        <family val="2"/>
      </rPr>
      <t xml:space="preserve">一、为什么换掉上证综指做主轴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接受朋友的正确意见</t>
    </r>
    <r>
      <rPr>
        <b val="true"/>
        <sz val="11"/>
        <color rgb="FF1F3864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</si>
  <si>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上证综指编制有公认硬伤：按总股本加权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中石油等限售大盘股权重虚高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2020</t>
    </r>
    <r>
      <rPr>
        <sz val="10"/>
        <color rgb="FF000000"/>
        <rFont val="Noto Sans CJK SC"/>
        <family val="2"/>
      </rPr>
      <t xml:space="preserve">年前新股上市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天即高位纳入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系统性高买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、长期含</t>
    </r>
    <r>
      <rPr>
        <sz val="10"/>
        <color rgb="FF000000"/>
        <rFont val="Arial"/>
        <family val="0"/>
        <charset val="1"/>
      </rPr>
      <t xml:space="preserve">ST</t>
    </r>
    <r>
      <rPr>
        <sz val="10"/>
        <color rgb="FF000000"/>
        <rFont val="Noto Sans CJK SC"/>
        <family val="2"/>
      </rPr>
      <t xml:space="preserve">亏损股，使它系统性低估真实回报、长期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失真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2020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月上交所做了发布以来首次大修订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剔除</t>
    </r>
    <r>
      <rPr>
        <sz val="10"/>
        <color rgb="FF000000"/>
        <rFont val="Arial"/>
        <family val="0"/>
        <charset val="1"/>
      </rPr>
      <t xml:space="preserve">ST</t>
    </r>
    <r>
      <rPr>
        <sz val="10"/>
        <color rgb="FF000000"/>
        <rFont val="Noto Sans CJK SC"/>
        <family val="2"/>
      </rPr>
      <t xml:space="preserve">、延迟新股纳入、纳入科创板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。故现代段</t>
    </r>
    <r>
      <rPr>
        <sz val="10"/>
        <color rgb="FF000000"/>
        <rFont val="Arial"/>
        <family val="0"/>
        <charset val="1"/>
      </rPr>
      <t xml:space="preserve">(2005</t>
    </r>
    <r>
      <rPr>
        <sz val="10"/>
        <color rgb="FF000000"/>
        <rFont val="Noto Sans CJK SC"/>
        <family val="2"/>
      </rPr>
      <t xml:space="preserve">至今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改用自由流通加权、规则化选样的中证</t>
    </r>
    <r>
      <rPr>
        <sz val="10"/>
        <color rgb="FF000000"/>
        <rFont val="Arial"/>
        <family val="0"/>
        <charset val="1"/>
      </rPr>
      <t xml:space="preserve">A500</t>
    </r>
    <r>
      <rPr>
        <sz val="10"/>
        <color rgb="FF000000"/>
        <rFont val="Noto Sans CJK SC"/>
        <family val="2"/>
      </rPr>
      <t xml:space="preserve">更准确。</t>
    </r>
  </si>
  <si>
    <r>
      <rPr>
        <b val="true"/>
        <sz val="11"/>
        <color rgb="FF1F3864"/>
        <rFont val="Noto Sans CJK SC"/>
        <family val="2"/>
      </rPr>
      <t xml:space="preserve">二、长河全景：</t>
    </r>
    <r>
      <rPr>
        <b val="true"/>
        <sz val="11"/>
        <color rgb="FF1F3864"/>
        <rFont val="Arial"/>
        <family val="0"/>
        <charset val="1"/>
      </rPr>
      <t xml:space="preserve">1990–2005</t>
    </r>
    <r>
      <rPr>
        <b val="true"/>
        <sz val="11"/>
        <color rgb="FF1F3864"/>
        <rFont val="Noto Sans CJK SC"/>
        <family val="2"/>
      </rPr>
      <t xml:space="preserve">用上证，</t>
    </r>
    <r>
      <rPr>
        <b val="true"/>
        <sz val="11"/>
        <color rgb="FF1F3864"/>
        <rFont val="Arial"/>
        <family val="0"/>
        <charset val="1"/>
      </rPr>
      <t xml:space="preserve">2005</t>
    </r>
    <r>
      <rPr>
        <b val="true"/>
        <sz val="11"/>
        <color rgb="FF1F3864"/>
        <rFont val="Noto Sans CJK SC"/>
        <family val="2"/>
      </rPr>
      <t xml:space="preserve">至今用</t>
    </r>
    <r>
      <rPr>
        <b val="true"/>
        <sz val="11"/>
        <color rgb="FF1F3864"/>
        <rFont val="Arial"/>
        <family val="0"/>
        <charset val="1"/>
      </rPr>
      <t xml:space="preserve">A500(</t>
    </r>
    <r>
      <rPr>
        <b val="true"/>
        <sz val="11"/>
        <color rgb="FF1F3864"/>
        <rFont val="Noto Sans CJK SC"/>
        <family val="2"/>
      </rPr>
      <t xml:space="preserve">见</t>
    </r>
    <r>
      <rPr>
        <b val="true"/>
        <sz val="11"/>
        <color rgb="FF1F3864"/>
        <rFont val="Arial"/>
        <family val="0"/>
        <charset val="1"/>
      </rPr>
      <t xml:space="preserve">"</t>
    </r>
    <r>
      <rPr>
        <b val="true"/>
        <sz val="11"/>
        <color rgb="FF1F3864"/>
        <rFont val="Noto Sans CJK SC"/>
        <family val="2"/>
      </rPr>
      <t xml:space="preserve">主轴全程</t>
    </r>
    <r>
      <rPr>
        <b val="true"/>
        <sz val="11"/>
        <color rgb="FF1F3864"/>
        <rFont val="Arial"/>
        <family val="0"/>
        <charset val="1"/>
      </rPr>
      <t xml:space="preserve">"</t>
    </r>
    <r>
      <rPr>
        <b val="true"/>
        <sz val="11"/>
        <color rgb="FF1F3864"/>
        <rFont val="Noto Sans CJK SC"/>
        <family val="2"/>
      </rPr>
      <t xml:space="preserve">表</t>
    </r>
    <r>
      <rPr>
        <b val="true"/>
        <sz val="11"/>
        <color rgb="FF1F3864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</si>
  <si>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1990–2005A</t>
    </r>
    <r>
      <rPr>
        <sz val="10"/>
        <color rgb="FF000000"/>
        <rFont val="Noto Sans CJK SC"/>
        <family val="2"/>
      </rPr>
      <t xml:space="preserve">股早期只有上证综指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沪深</t>
    </r>
    <r>
      <rPr>
        <sz val="10"/>
        <color rgb="FF000000"/>
        <rFont val="Arial"/>
        <family val="0"/>
        <charset val="1"/>
      </rPr>
      <t xml:space="preserve">300/A500</t>
    </r>
    <r>
      <rPr>
        <sz val="10"/>
        <color rgb="FF000000"/>
        <rFont val="Noto Sans CJK SC"/>
        <family val="2"/>
      </rPr>
      <t xml:space="preserve">基日都是</t>
    </r>
    <r>
      <rPr>
        <sz val="10"/>
        <color rgb="FF000000"/>
        <rFont val="Arial"/>
        <family val="0"/>
        <charset val="1"/>
      </rPr>
      <t xml:space="preserve">2004</t>
    </r>
    <r>
      <rPr>
        <sz val="10"/>
        <color rgb="FF000000"/>
        <rFont val="Noto Sans CJK SC"/>
        <family val="2"/>
      </rPr>
      <t xml:space="preserve">年底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，这</t>
    </r>
    <r>
      <rPr>
        <sz val="10"/>
        <color rgb="FF000000"/>
        <rFont val="Arial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年只能用上证并标注失真；</t>
    </r>
    <r>
      <rPr>
        <sz val="10"/>
        <color rgb="FF000000"/>
        <rFont val="Arial"/>
        <family val="0"/>
        <charset val="1"/>
      </rPr>
      <t xml:space="preserve">2005</t>
    </r>
    <r>
      <rPr>
        <sz val="10"/>
        <color rgb="FF000000"/>
        <rFont val="Noto Sans CJK SC"/>
        <family val="2"/>
      </rPr>
      <t xml:space="preserve">年起接入</t>
    </r>
    <r>
      <rPr>
        <sz val="10"/>
        <color rgb="FF000000"/>
        <rFont val="Arial"/>
        <family val="0"/>
        <charset val="1"/>
      </rPr>
      <t xml:space="preserve">A500(</t>
    </r>
    <r>
      <rPr>
        <sz val="10"/>
        <color rgb="FF000000"/>
        <rFont val="Noto Sans CJK SC"/>
        <family val="2"/>
      </rPr>
      <t xml:space="preserve">价格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。用连续复利串起来看：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股长期年化并非网传图暗示的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负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，而是相当可观的正收益，数字见表，可改终点联动。</t>
    </r>
  </si>
  <si>
    <r>
      <rPr>
        <b val="true"/>
        <sz val="11"/>
        <color rgb="FF1F3864"/>
        <rFont val="Noto Sans CJK SC"/>
        <family val="2"/>
      </rPr>
      <t xml:space="preserve">三、交叉验证：</t>
    </r>
    <r>
      <rPr>
        <b val="true"/>
        <sz val="11"/>
        <color rgb="FF1F3864"/>
        <rFont val="Arial"/>
        <family val="0"/>
        <charset val="1"/>
      </rPr>
      <t xml:space="preserve">A500 vs </t>
    </r>
    <r>
      <rPr>
        <b val="true"/>
        <sz val="11"/>
        <color rgb="FF1F3864"/>
        <rFont val="Noto Sans CJK SC"/>
        <family val="2"/>
      </rPr>
      <t xml:space="preserve">沪深</t>
    </r>
    <r>
      <rPr>
        <b val="true"/>
        <sz val="11"/>
        <color rgb="FF1F3864"/>
        <rFont val="Arial"/>
        <family val="0"/>
        <charset val="1"/>
      </rPr>
      <t xml:space="preserve">300</t>
    </r>
    <r>
      <rPr>
        <b val="true"/>
        <sz val="11"/>
        <color rgb="FF1F3864"/>
        <rFont val="Noto Sans CJK SC"/>
        <family val="2"/>
      </rPr>
      <t xml:space="preserve">，看清</t>
    </r>
    <r>
      <rPr>
        <b val="true"/>
        <sz val="11"/>
        <color rgb="FF1F3864"/>
        <rFont val="Arial"/>
        <family val="0"/>
        <charset val="1"/>
      </rPr>
      <t xml:space="preserve">"</t>
    </r>
    <r>
      <rPr>
        <b val="true"/>
        <sz val="11"/>
        <color rgb="FF1F3864"/>
        <rFont val="Noto Sans CJK SC"/>
        <family val="2"/>
      </rPr>
      <t xml:space="preserve">回测水分</t>
    </r>
    <r>
      <rPr>
        <b val="true"/>
        <sz val="11"/>
        <color rgb="FF1F3864"/>
        <rFont val="Arial"/>
        <family val="0"/>
        <charset val="1"/>
      </rPr>
      <t xml:space="preserve">"(</t>
    </r>
    <r>
      <rPr>
        <b val="true"/>
        <sz val="11"/>
        <color rgb="FF1F3864"/>
        <rFont val="Noto Sans CJK SC"/>
        <family val="2"/>
      </rPr>
      <t xml:space="preserve">见</t>
    </r>
    <r>
      <rPr>
        <b val="true"/>
        <sz val="11"/>
        <color rgb="FF1F3864"/>
        <rFont val="Arial"/>
        <family val="0"/>
        <charset val="1"/>
      </rPr>
      <t xml:space="preserve">"</t>
    </r>
    <r>
      <rPr>
        <b val="true"/>
        <sz val="11"/>
        <color rgb="FF1F3864"/>
        <rFont val="Noto Sans CJK SC"/>
        <family val="2"/>
      </rPr>
      <t xml:space="preserve">现代段对比</t>
    </r>
    <r>
      <rPr>
        <b val="true"/>
        <sz val="11"/>
        <color rgb="FF1F3864"/>
        <rFont val="Arial"/>
        <family val="0"/>
        <charset val="1"/>
      </rPr>
      <t xml:space="preserve">"</t>
    </r>
    <r>
      <rPr>
        <b val="true"/>
        <sz val="11"/>
        <color rgb="FF1F3864"/>
        <rFont val="Noto Sans CJK SC"/>
        <family val="2"/>
      </rPr>
      <t xml:space="preserve">表</t>
    </r>
    <r>
      <rPr>
        <b val="true"/>
        <sz val="11"/>
        <color rgb="FF1F3864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</si>
  <si>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沪深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是</t>
    </r>
    <r>
      <rPr>
        <sz val="10"/>
        <color rgb="FF000000"/>
        <rFont val="Arial"/>
        <family val="0"/>
        <charset val="1"/>
      </rPr>
      <t xml:space="preserve">2005</t>
    </r>
    <r>
      <rPr>
        <sz val="10"/>
        <color rgb="FF000000"/>
        <rFont val="Noto Sans CJK SC"/>
        <family val="2"/>
      </rPr>
      <t xml:space="preserve">年就真实存在、同为自由流通加权的大盘指数，是检验</t>
    </r>
    <r>
      <rPr>
        <sz val="10"/>
        <color rgb="FF000000"/>
        <rFont val="Arial"/>
        <family val="0"/>
        <charset val="1"/>
      </rPr>
      <t xml:space="preserve">A500</t>
    </r>
    <r>
      <rPr>
        <sz val="10"/>
        <color rgb="FF000000"/>
        <rFont val="Noto Sans CJK SC"/>
        <family val="2"/>
      </rPr>
      <t xml:space="preserve">回测最好的尺子。</t>
    </r>
    <r>
      <rPr>
        <sz val="10"/>
        <color rgb="FF000000"/>
        <rFont val="Arial"/>
        <family val="0"/>
        <charset val="1"/>
      </rPr>
      <t xml:space="preserve">Wind</t>
    </r>
    <r>
      <rPr>
        <sz val="10"/>
        <color rgb="FF000000"/>
        <rFont val="Noto Sans CJK SC"/>
        <family val="2"/>
      </rPr>
      <t xml:space="preserve">：自</t>
    </r>
    <r>
      <rPr>
        <sz val="10"/>
        <color rgb="FF000000"/>
        <rFont val="Arial"/>
        <family val="0"/>
        <charset val="1"/>
      </rPr>
      <t xml:space="preserve">2004</t>
    </r>
    <r>
      <rPr>
        <sz val="10"/>
        <color rgb="FF000000"/>
        <rFont val="Noto Sans CJK SC"/>
        <family val="2"/>
      </rPr>
      <t xml:space="preserve">末基日至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底，</t>
    </r>
    <r>
      <rPr>
        <sz val="10"/>
        <color rgb="FF000000"/>
        <rFont val="Arial"/>
        <family val="0"/>
        <charset val="1"/>
      </rPr>
      <t xml:space="preserve">A500</t>
    </r>
    <r>
      <rPr>
        <sz val="10"/>
        <color rgb="FF000000"/>
        <rFont val="Noto Sans CJK SC"/>
        <family val="2"/>
      </rPr>
      <t xml:space="preserve">累计约</t>
    </r>
    <r>
      <rPr>
        <sz val="10"/>
        <color rgb="FF000000"/>
        <rFont val="Arial"/>
        <family val="0"/>
        <charset val="1"/>
      </rPr>
      <t xml:space="preserve">+459%</t>
    </r>
    <r>
      <rPr>
        <sz val="10"/>
        <color rgb="FF000000"/>
        <rFont val="Noto Sans CJK SC"/>
        <family val="2"/>
      </rPr>
      <t xml:space="preserve">、沪深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约</t>
    </r>
    <r>
      <rPr>
        <sz val="10"/>
        <color rgb="FF000000"/>
        <rFont val="Arial"/>
        <family val="0"/>
        <charset val="1"/>
      </rPr>
      <t xml:space="preserve">+362%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A500"</t>
    </r>
    <r>
      <rPr>
        <sz val="10"/>
        <color rgb="FF000000"/>
        <rFont val="Noto Sans CJK SC"/>
        <family val="2"/>
      </rPr>
      <t xml:space="preserve">跑赢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约</t>
    </r>
    <r>
      <rPr>
        <sz val="10"/>
        <color rgb="FF000000"/>
        <rFont val="Arial"/>
        <family val="0"/>
        <charset val="1"/>
      </rPr>
      <t xml:space="preserve">97</t>
    </r>
    <r>
      <rPr>
        <sz val="10"/>
        <color rgb="FF000000"/>
        <rFont val="Noto Sans CJK SC"/>
        <family val="2"/>
      </rPr>
      <t xml:space="preserve">个百分点。但二者基日相同、且</t>
    </r>
    <r>
      <rPr>
        <sz val="10"/>
        <color rgb="FF000000"/>
        <rFont val="Arial"/>
        <family val="0"/>
        <charset val="1"/>
      </rPr>
      <t xml:space="preserve">A500</t>
    </r>
    <r>
      <rPr>
        <sz val="10"/>
        <color rgb="FF000000"/>
        <rFont val="Noto Sans CJK SC"/>
        <family val="2"/>
      </rPr>
      <t xml:space="preserve">这段几乎全是回测，这份超额很大程度正是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用今天的赢家回看过去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的幸存者偏差，不应简单当作</t>
    </r>
    <r>
      <rPr>
        <sz val="10"/>
        <color rgb="FF000000"/>
        <rFont val="Arial"/>
        <family val="0"/>
        <charset val="1"/>
      </rPr>
      <t xml:space="preserve">A500</t>
    </r>
    <r>
      <rPr>
        <sz val="10"/>
        <color rgb="FF000000"/>
        <rFont val="Noto Sans CJK SC"/>
        <family val="2"/>
      </rPr>
      <t xml:space="preserve">未来也会跑赢的证据。真正干净可比的是</t>
    </r>
    <r>
      <rPr>
        <sz val="10"/>
        <color rgb="FF000000"/>
        <rFont val="Arial"/>
        <family val="0"/>
        <charset val="1"/>
      </rPr>
      <t xml:space="preserve">2024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A500</t>
    </r>
    <r>
      <rPr>
        <sz val="10"/>
        <color rgb="FF000000"/>
        <rFont val="Noto Sans CJK SC"/>
        <family val="2"/>
      </rPr>
      <t xml:space="preserve">发布后的实盘走势。</t>
    </r>
  </si>
  <si>
    <t xml:space="preserve">四、口径与基期再提醒</t>
  </si>
  <si>
    <r>
      <rPr>
        <sz val="10"/>
        <color rgb="FF000000"/>
        <rFont val="Noto Sans CJK SC"/>
        <family val="2"/>
      </rPr>
      <t xml:space="preserve">本报告统一用价格指数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不含分红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，与上证同口径最公平。若看真实到手回报，三者都应换全收益版，长期年化再加约</t>
    </r>
    <r>
      <rPr>
        <sz val="10"/>
        <color rgb="FF000000"/>
        <rFont val="Arial"/>
        <family val="0"/>
        <charset val="1"/>
      </rPr>
      <t xml:space="preserve">+2%</t>
    </r>
    <r>
      <rPr>
        <sz val="10"/>
        <color rgb="FF000000"/>
        <rFont val="Noto Sans CJK SC"/>
        <family val="2"/>
      </rPr>
      <t xml:space="preserve">。务必避免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挑泡沫顶做基期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2007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月是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股</t>
    </r>
    <r>
      <rPr>
        <sz val="10"/>
        <color rgb="FF000000"/>
        <rFont val="Arial"/>
        <family val="0"/>
        <charset val="1"/>
      </rPr>
      <t xml:space="preserve">50–70</t>
    </r>
    <r>
      <rPr>
        <sz val="10"/>
        <color rgb="FF000000"/>
        <rFont val="Noto Sans CJK SC"/>
        <family val="2"/>
      </rPr>
      <t xml:space="preserve">倍市盈率的历史绝顶，从那天起算任何指数都难看，那是估值泡沫回归，不是企业不赚钱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详见</t>
    </r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的盈利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估值分解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</t>
    </r>
  </si>
  <si>
    <t xml:space="preserve">五、综合评估</t>
  </si>
  <si>
    <r>
      <rPr>
        <sz val="10"/>
        <color rgb="FF000000"/>
        <rFont val="Noto Sans CJK SC"/>
        <family val="2"/>
      </rPr>
      <t xml:space="preserve">换上更准确的</t>
    </r>
    <r>
      <rPr>
        <sz val="10"/>
        <color rgb="FF000000"/>
        <rFont val="Arial"/>
        <family val="0"/>
        <charset val="1"/>
      </rPr>
      <t xml:space="preserve">A500/</t>
    </r>
    <r>
      <rPr>
        <sz val="10"/>
        <color rgb="FF000000"/>
        <rFont val="Noto Sans CJK SC"/>
        <family val="2"/>
      </rPr>
      <t xml:space="preserve">沪深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后，结论比用上证更清楚：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股核心资产长期年化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价格口径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约</t>
    </r>
    <r>
      <rPr>
        <sz val="10"/>
        <color rgb="FF000000"/>
        <rFont val="Arial"/>
        <family val="0"/>
        <charset val="1"/>
      </rPr>
      <t xml:space="preserve">7–8%</t>
    </r>
    <r>
      <rPr>
        <sz val="10"/>
        <color rgb="FF000000"/>
        <rFont val="Noto Sans CJK SC"/>
        <family val="2"/>
      </rPr>
      <t xml:space="preserve">、含分红更高，与名义</t>
    </r>
    <r>
      <rPr>
        <sz val="10"/>
        <color rgb="FF000000"/>
        <rFont val="Arial"/>
        <family val="0"/>
        <charset val="1"/>
      </rPr>
      <t xml:space="preserve">GDP</t>
    </r>
    <r>
      <rPr>
        <sz val="10"/>
        <color rgb="FF000000"/>
        <rFont val="Noto Sans CJK SC"/>
        <family val="2"/>
      </rPr>
      <t xml:space="preserve">增速大体匹配，并不弱；但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牛短熊长、暴涨暴跌、散户体验差、早期编制失真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是真实问题。合理态度：用对的尺子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自由流通、含分红、可比基期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，既不被挑过角度的真数据误导，也不否认问题。朋友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别只盯上证、看</t>
    </r>
    <r>
      <rPr>
        <sz val="10"/>
        <color rgb="FF000000"/>
        <rFont val="Arial"/>
        <family val="0"/>
        <charset val="1"/>
      </rPr>
      <t xml:space="preserve">A500/</t>
    </r>
    <r>
      <rPr>
        <sz val="10"/>
        <color rgb="FF000000"/>
        <rFont val="Noto Sans CJK SC"/>
        <family val="2"/>
      </rPr>
      <t xml:space="preserve">沪深</t>
    </r>
    <r>
      <rPr>
        <sz val="10"/>
        <color rgb="FF000000"/>
        <rFont val="Arial"/>
        <family val="0"/>
        <charset val="1"/>
      </rPr>
      <t xml:space="preserve">300"</t>
    </r>
    <r>
      <rPr>
        <sz val="10"/>
        <color rgb="FF000000"/>
        <rFont val="Noto Sans CJK SC"/>
        <family val="2"/>
      </rPr>
      <t xml:space="preserve">方向正确；但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永远别碰上证</t>
    </r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过头了——研究</t>
    </r>
    <r>
      <rPr>
        <sz val="10"/>
        <color rgb="FF000000"/>
        <rFont val="Arial"/>
        <family val="0"/>
        <charset val="1"/>
      </rPr>
      <t xml:space="preserve">1990–2005</t>
    </r>
    <r>
      <rPr>
        <sz val="10"/>
        <color rgb="FF000000"/>
        <rFont val="Noto Sans CJK SC"/>
        <family val="2"/>
      </rPr>
      <t xml:space="preserve">的长河，上证是唯一可用的尺子。</t>
    </r>
  </si>
  <si>
    <r>
      <rPr>
        <sz val="9"/>
        <color rgb="FF595959"/>
        <rFont val="Noto Sans CJK SC"/>
        <family val="2"/>
      </rPr>
      <t xml:space="preserve">数据来源：上证年末收盘为公开历史数据；</t>
    </r>
    <r>
      <rPr>
        <sz val="9"/>
        <color rgb="FF595959"/>
        <rFont val="Arial"/>
        <family val="0"/>
        <charset val="1"/>
      </rPr>
      <t xml:space="preserve">A500/</t>
    </r>
    <r>
      <rPr>
        <sz val="9"/>
        <color rgb="FF595959"/>
        <rFont val="Noto Sans CJK SC"/>
        <family val="2"/>
      </rPr>
      <t xml:space="preserve">沪深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Noto Sans CJK SC"/>
        <family val="2"/>
      </rPr>
      <t xml:space="preserve">累计与年化引自</t>
    </r>
    <r>
      <rPr>
        <sz val="9"/>
        <color rgb="FF595959"/>
        <rFont val="Arial"/>
        <family val="0"/>
        <charset val="1"/>
      </rPr>
      <t xml:space="preserve">Wind</t>
    </r>
    <r>
      <rPr>
        <sz val="9"/>
        <color rgb="FF595959"/>
        <rFont val="Noto Sans CJK SC"/>
        <family val="2"/>
      </rPr>
      <t xml:space="preserve">公开数据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基日</t>
    </r>
    <r>
      <rPr>
        <sz val="9"/>
        <color rgb="FF595959"/>
        <rFont val="Arial"/>
        <family val="0"/>
        <charset val="1"/>
      </rPr>
      <t xml:space="preserve">2004-12-31)</t>
    </r>
    <r>
      <rPr>
        <sz val="9"/>
        <color rgb="FF595959"/>
        <rFont val="Noto Sans CJK SC"/>
        <family val="2"/>
      </rPr>
      <t xml:space="preserve">；关键点位为确认的历史高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低点；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月为近似现值。</t>
    </r>
  </si>
  <si>
    <r>
      <rPr>
        <b val="true"/>
        <sz val="15"/>
        <color rgb="FF1F3864"/>
        <rFont val="Noto Sans CJK SC"/>
        <family val="2"/>
      </rPr>
      <t xml:space="preserve">主轴全程：</t>
    </r>
    <r>
      <rPr>
        <b val="true"/>
        <sz val="15"/>
        <color rgb="FF1F3864"/>
        <rFont val="Arial"/>
        <family val="0"/>
        <charset val="1"/>
      </rPr>
      <t xml:space="preserve">1990–2005</t>
    </r>
    <r>
      <rPr>
        <b val="true"/>
        <sz val="15"/>
        <color rgb="FF1F3864"/>
        <rFont val="Noto Sans CJK SC"/>
        <family val="2"/>
      </rPr>
      <t xml:space="preserve">上证</t>
    </r>
    <r>
      <rPr>
        <b val="true"/>
        <sz val="15"/>
        <color rgb="FF1F3864"/>
        <rFont val="Arial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</rPr>
      <t xml:space="preserve">失真</t>
    </r>
    <r>
      <rPr>
        <b val="true"/>
        <sz val="15"/>
        <color rgb="FF1F3864"/>
        <rFont val="Arial"/>
        <family val="0"/>
        <charset val="1"/>
      </rPr>
      <t xml:space="preserve">) + 2005</t>
    </r>
    <r>
      <rPr>
        <b val="true"/>
        <sz val="15"/>
        <color rgb="FF1F3864"/>
        <rFont val="Noto Sans CJK SC"/>
        <family val="2"/>
      </rPr>
      <t xml:space="preserve">至今</t>
    </r>
    <r>
      <rPr>
        <b val="true"/>
        <sz val="15"/>
        <color rgb="FF1F3864"/>
        <rFont val="Arial"/>
        <family val="0"/>
        <charset val="1"/>
      </rPr>
      <t xml:space="preserve">A500(</t>
    </r>
    <r>
      <rPr>
        <b val="true"/>
        <sz val="15"/>
        <color rgb="FF1F3864"/>
        <rFont val="Noto Sans CJK SC"/>
        <family val="2"/>
      </rPr>
      <t xml:space="preserve">价格</t>
    </r>
    <r>
      <rPr>
        <b val="true"/>
        <sz val="15"/>
        <color rgb="FF1F3864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</si>
  <si>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紫底</t>
    </r>
    <r>
      <rPr>
        <i val="true"/>
        <sz val="9"/>
        <color rgb="FF595959"/>
        <rFont val="Arial"/>
        <family val="0"/>
        <charset val="1"/>
      </rPr>
      <t xml:space="preserve">=A500</t>
    </r>
    <r>
      <rPr>
        <i val="true"/>
        <sz val="9"/>
        <color rgb="FF595959"/>
        <rFont val="Noto Sans CJK SC"/>
        <family val="2"/>
      </rPr>
      <t xml:space="preserve">回测段</t>
    </r>
    <r>
      <rPr>
        <i val="true"/>
        <sz val="9"/>
        <color rgb="FF595959"/>
        <rFont val="Arial"/>
        <family val="0"/>
        <charset val="1"/>
      </rPr>
      <t xml:space="preserve">(2024.9</t>
    </r>
    <r>
      <rPr>
        <i val="true"/>
        <sz val="9"/>
        <color rgb="FF595959"/>
        <rFont val="Noto Sans CJK SC"/>
        <family val="2"/>
      </rPr>
      <t xml:space="preserve">前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Noto Sans CJK SC"/>
        <family val="2"/>
      </rPr>
      <t xml:space="preserve">非真实可投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Noto Sans CJK SC"/>
        <family val="2"/>
      </rPr>
      <t xml:space="preserve">；绿底</t>
    </r>
    <r>
      <rPr>
        <i val="true"/>
        <sz val="9"/>
        <color rgb="FF595959"/>
        <rFont val="Arial"/>
        <family val="0"/>
        <charset val="1"/>
      </rPr>
      <t xml:space="preserve">=A500</t>
    </r>
    <r>
      <rPr>
        <i val="true"/>
        <sz val="9"/>
        <color rgb="FF595959"/>
        <rFont val="Noto Sans CJK SC"/>
        <family val="2"/>
      </rPr>
      <t xml:space="preserve">真实段；灰底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上证早期段。年化</t>
    </r>
    <r>
      <rPr>
        <i val="true"/>
        <sz val="9"/>
        <color rgb="FF595959"/>
        <rFont val="Arial"/>
        <family val="0"/>
        <charset val="1"/>
      </rPr>
      <t xml:space="preserve">cc=ln(</t>
    </r>
    <r>
      <rPr>
        <i val="true"/>
        <sz val="9"/>
        <color rgb="FF595959"/>
        <rFont val="Noto Sans CJK SC"/>
        <family val="2"/>
      </rPr>
      <t xml:space="preserve">终点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Noto Sans CJK SC"/>
        <family val="2"/>
      </rPr>
      <t xml:space="preserve">起点</t>
    </r>
    <r>
      <rPr>
        <i val="true"/>
        <sz val="9"/>
        <color rgb="FF595959"/>
        <rFont val="Arial"/>
        <family val="0"/>
        <charset val="1"/>
      </rPr>
      <t xml:space="preserve">)/n</t>
    </r>
    <r>
      <rPr>
        <i val="true"/>
        <sz val="9"/>
        <color rgb="FF595959"/>
        <rFont val="Noto Sans CJK SC"/>
        <family val="2"/>
      </rPr>
      <t xml:space="preserve">。</t>
    </r>
  </si>
  <si>
    <t xml:space="preserve">终点年份</t>
  </si>
  <si>
    <t xml:space="preserve">年份</t>
  </si>
  <si>
    <t xml:space="preserve">小数年</t>
  </si>
  <si>
    <t xml:space="preserve">主轴指数</t>
  </si>
  <si>
    <r>
      <rPr>
        <b val="true"/>
        <sz val="10"/>
        <color rgb="FFFFFFFF"/>
        <rFont val="Noto Sans CJK SC"/>
        <family val="2"/>
      </rPr>
      <t xml:space="preserve">点位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水平</t>
    </r>
  </si>
  <si>
    <t xml:space="preserve">口径</t>
  </si>
  <si>
    <r>
      <rPr>
        <b val="true"/>
        <sz val="10"/>
        <color rgb="FFFFFFFF"/>
        <rFont val="Noto Sans CJK SC"/>
        <family val="2"/>
      </rPr>
      <t xml:space="preserve">距今</t>
    </r>
    <r>
      <rPr>
        <b val="true"/>
        <sz val="10"/>
        <color rgb="FFFFFFFF"/>
        <rFont val="Arial"/>
        <family val="0"/>
        <charset val="1"/>
      </rPr>
      <t xml:space="preserve">n</t>
    </r>
  </si>
  <si>
    <r>
      <rPr>
        <b val="true"/>
        <sz val="10"/>
        <color rgb="FFFFFFFF"/>
        <rFont val="Noto Sans CJK SC"/>
        <family val="2"/>
      </rPr>
      <t xml:space="preserve">距今年化</t>
    </r>
    <r>
      <rPr>
        <b val="true"/>
        <sz val="10"/>
        <color rgb="FFFFFFFF"/>
        <rFont val="Arial"/>
        <family val="0"/>
        <charset val="1"/>
      </rPr>
      <t xml:space="preserve">cc</t>
    </r>
  </si>
  <si>
    <t xml:space="preserve">数据性质</t>
  </si>
  <si>
    <t xml:space="preserve">上证</t>
  </si>
  <si>
    <t xml:space="preserve">价格</t>
  </si>
  <si>
    <t xml:space="preserve">上证早期</t>
  </si>
  <si>
    <r>
      <rPr>
        <sz val="9"/>
        <color rgb="FF595959"/>
        <rFont val="Noto Sans CJK SC"/>
        <family val="2"/>
      </rPr>
      <t xml:space="preserve">上证早期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接棒点</t>
    </r>
  </si>
  <si>
    <t xml:space="preserve">A500</t>
  </si>
  <si>
    <r>
      <rPr>
        <sz val="9"/>
        <color rgb="FF595959"/>
        <rFont val="Arial"/>
        <family val="0"/>
        <charset val="1"/>
      </rPr>
      <t xml:space="preserve">A500</t>
    </r>
    <r>
      <rPr>
        <sz val="9"/>
        <color rgb="FF595959"/>
        <rFont val="Noto Sans CJK SC"/>
        <family val="2"/>
      </rPr>
      <t xml:space="preserve">回测</t>
    </r>
  </si>
  <si>
    <r>
      <rPr>
        <sz val="9"/>
        <color rgb="FF595959"/>
        <rFont val="Arial"/>
        <family val="0"/>
        <charset val="1"/>
      </rPr>
      <t xml:space="preserve">A500</t>
    </r>
    <r>
      <rPr>
        <sz val="9"/>
        <color rgb="FF595959"/>
        <rFont val="Noto Sans CJK SC"/>
        <family val="2"/>
      </rPr>
      <t xml:space="preserve">回测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泡沫顶附近</t>
    </r>
  </si>
  <si>
    <r>
      <rPr>
        <sz val="9"/>
        <color rgb="FF595959"/>
        <rFont val="Arial"/>
        <family val="0"/>
        <charset val="1"/>
      </rPr>
      <t xml:space="preserve">A500</t>
    </r>
    <r>
      <rPr>
        <sz val="9"/>
        <color rgb="FF595959"/>
        <rFont val="Noto Sans CJK SC"/>
        <family val="2"/>
      </rPr>
      <t xml:space="preserve">回测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杠杆牛</t>
    </r>
  </si>
  <si>
    <r>
      <rPr>
        <sz val="9"/>
        <color rgb="FF595959"/>
        <rFont val="Arial"/>
        <family val="0"/>
        <charset val="1"/>
      </rPr>
      <t xml:space="preserve">A500</t>
    </r>
    <r>
      <rPr>
        <sz val="9"/>
        <color rgb="FF595959"/>
        <rFont val="Noto Sans CJK SC"/>
        <family val="2"/>
      </rPr>
      <t xml:space="preserve">真实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发布日附近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</si>
  <si>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9"/>
        <color rgb="FF595959"/>
        <rFont val="Arial"/>
        <family val="0"/>
        <charset val="1"/>
      </rPr>
      <t xml:space="preserve">A500</t>
    </r>
    <r>
      <rPr>
        <sz val="9"/>
        <color rgb="FF595959"/>
        <rFont val="Noto Sans CJK SC"/>
        <family val="2"/>
      </rPr>
      <t xml:space="preserve">真实</t>
    </r>
  </si>
  <si>
    <t xml:space="preserve">-</t>
  </si>
  <si>
    <r>
      <rPr>
        <sz val="9"/>
        <color rgb="FF595959"/>
        <rFont val="Arial"/>
        <family val="0"/>
        <charset val="1"/>
      </rPr>
      <t xml:space="preserve">A500</t>
    </r>
    <r>
      <rPr>
        <sz val="9"/>
        <color rgb="FF595959"/>
        <rFont val="Noto Sans CJK SC"/>
        <family val="2"/>
      </rPr>
      <t xml:space="preserve">真实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现值</t>
    </r>
  </si>
  <si>
    <r>
      <rPr>
        <sz val="9"/>
        <color rgb="FF595959"/>
        <rFont val="Noto Sans CJK SC"/>
        <family val="2"/>
      </rPr>
      <t xml:space="preserve">说明：上证段年化以现值约</t>
    </r>
    <r>
      <rPr>
        <sz val="9"/>
        <color rgb="FF595959"/>
        <rFont val="Arial"/>
        <family val="0"/>
        <charset val="1"/>
      </rPr>
      <t xml:space="preserve">4100</t>
    </r>
    <r>
      <rPr>
        <sz val="9"/>
        <color rgb="FF595959"/>
        <rFont val="Noto Sans CJK SC"/>
        <family val="2"/>
      </rPr>
      <t xml:space="preserve">计；</t>
    </r>
    <r>
      <rPr>
        <sz val="9"/>
        <color rgb="FF595959"/>
        <rFont val="Arial"/>
        <family val="0"/>
        <charset val="1"/>
      </rPr>
      <t xml:space="preserve">A500</t>
    </r>
    <r>
      <rPr>
        <sz val="9"/>
        <color rgb="FF595959"/>
        <rFont val="Noto Sans CJK SC"/>
        <family val="2"/>
      </rPr>
      <t xml:space="preserve">段年化以</t>
    </r>
    <r>
      <rPr>
        <sz val="9"/>
        <color rgb="FF595959"/>
        <rFont val="Arial"/>
        <family val="0"/>
        <charset val="1"/>
      </rPr>
      <t xml:space="preserve">A500</t>
    </r>
    <r>
      <rPr>
        <sz val="9"/>
        <color rgb="FF595959"/>
        <rFont val="Noto Sans CJK SC"/>
        <family val="2"/>
      </rPr>
      <t xml:space="preserve">现值约</t>
    </r>
    <r>
      <rPr>
        <sz val="9"/>
        <color rgb="FF595959"/>
        <rFont val="Arial"/>
        <family val="0"/>
        <charset val="1"/>
      </rPr>
      <t xml:space="preserve">5650</t>
    </r>
    <r>
      <rPr>
        <sz val="9"/>
        <color rgb="FF595959"/>
        <rFont val="Noto Sans CJK SC"/>
        <family val="2"/>
      </rPr>
      <t xml:space="preserve">计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基日</t>
    </r>
    <r>
      <rPr>
        <sz val="9"/>
        <color rgb="FF595959"/>
        <rFont val="Arial"/>
        <family val="0"/>
        <charset val="1"/>
      </rPr>
      <t xml:space="preserve">2004</t>
    </r>
    <r>
      <rPr>
        <sz val="9"/>
        <color rgb="FF595959"/>
        <rFont val="Noto Sans CJK SC"/>
        <family val="2"/>
      </rPr>
      <t xml:space="preserve">末</t>
    </r>
    <r>
      <rPr>
        <sz val="9"/>
        <color rgb="FF595959"/>
        <rFont val="Arial"/>
        <family val="0"/>
        <charset val="1"/>
      </rPr>
      <t xml:space="preserve">=1000,</t>
    </r>
    <r>
      <rPr>
        <sz val="9"/>
        <color rgb="FF595959"/>
        <rFont val="Noto Sans CJK SC"/>
        <family val="2"/>
      </rPr>
      <t xml:space="preserve">累计约</t>
    </r>
    <r>
      <rPr>
        <sz val="9"/>
        <color rgb="FF595959"/>
        <rFont val="Arial"/>
        <family val="0"/>
        <charset val="1"/>
      </rPr>
      <t xml:space="preserve">+460%)</t>
    </r>
    <r>
      <rPr>
        <sz val="9"/>
        <color rgb="FF595959"/>
        <rFont val="Noto Sans CJK SC"/>
        <family val="2"/>
      </rPr>
      <t xml:space="preserve">。两段是不同指数</t>
    </r>
    <r>
      <rPr>
        <sz val="9"/>
        <color rgb="FF595959"/>
        <rFont val="Arial"/>
        <family val="0"/>
        <charset val="1"/>
      </rPr>
      <t xml:space="preserve">,</t>
    </r>
    <r>
      <rPr>
        <sz val="9"/>
        <color rgb="FF595959"/>
        <rFont val="Noto Sans CJK SC"/>
        <family val="2"/>
      </rPr>
      <t xml:space="preserve">不能简单首尾相接成一条价格曲线</t>
    </r>
    <r>
      <rPr>
        <sz val="9"/>
        <color rgb="FF595959"/>
        <rFont val="Arial"/>
        <family val="0"/>
        <charset val="1"/>
      </rPr>
      <t xml:space="preserve">,</t>
    </r>
    <r>
      <rPr>
        <sz val="9"/>
        <color rgb="FF595959"/>
        <rFont val="Noto Sans CJK SC"/>
        <family val="2"/>
      </rPr>
      <t xml:space="preserve">但可分别读</t>
    </r>
    <r>
      <rPr>
        <sz val="9"/>
        <color rgb="FF595959"/>
        <rFont val="Arial"/>
        <family val="0"/>
        <charset val="1"/>
      </rPr>
      <t xml:space="preserve">"</t>
    </r>
    <r>
      <rPr>
        <sz val="9"/>
        <color rgb="FF595959"/>
        <rFont val="Noto Sans CJK SC"/>
        <family val="2"/>
      </rPr>
      <t xml:space="preserve">从那时到今天的年化</t>
    </r>
    <r>
      <rPr>
        <sz val="9"/>
        <color rgb="FF595959"/>
        <rFont val="Arial"/>
        <family val="0"/>
        <charset val="1"/>
      </rPr>
      <t xml:space="preserve">"</t>
    </r>
    <r>
      <rPr>
        <sz val="9"/>
        <color rgb="FF595959"/>
        <rFont val="Noto Sans CJK SC"/>
        <family val="2"/>
      </rPr>
      <t xml:space="preserve">。</t>
    </r>
  </si>
  <si>
    <r>
      <rPr>
        <b val="true"/>
        <sz val="15"/>
        <color rgb="FF1F3864"/>
        <rFont val="Noto Sans CJK SC"/>
        <family val="2"/>
      </rPr>
      <t xml:space="preserve">现代段对比</t>
    </r>
    <r>
      <rPr>
        <b val="true"/>
        <sz val="15"/>
        <color rgb="FF1F3864"/>
        <rFont val="Arial"/>
        <family val="0"/>
        <charset val="1"/>
      </rPr>
      <t xml:space="preserve">(2005</t>
    </r>
    <r>
      <rPr>
        <b val="true"/>
        <sz val="15"/>
        <color rgb="FF1F3864"/>
        <rFont val="Noto Sans CJK SC"/>
        <family val="2"/>
      </rPr>
      <t xml:space="preserve">至今</t>
    </r>
    <r>
      <rPr>
        <b val="true"/>
        <sz val="15"/>
        <color rgb="FF1F3864"/>
        <rFont val="Arial"/>
        <family val="0"/>
        <charset val="1"/>
      </rPr>
      <t xml:space="preserve">)</t>
    </r>
    <r>
      <rPr>
        <b val="true"/>
        <sz val="15"/>
        <color rgb="FF1F3864"/>
        <rFont val="Noto Sans CJK SC"/>
        <family val="2"/>
      </rPr>
      <t xml:space="preserve">：</t>
    </r>
    <r>
      <rPr>
        <b val="true"/>
        <sz val="15"/>
        <color rgb="FF1F3864"/>
        <rFont val="Arial"/>
        <family val="0"/>
        <charset val="1"/>
      </rPr>
      <t xml:space="preserve">A500 vs </t>
    </r>
    <r>
      <rPr>
        <b val="true"/>
        <sz val="15"/>
        <color rgb="FF1F3864"/>
        <rFont val="Noto Sans CJK SC"/>
        <family val="2"/>
      </rPr>
      <t xml:space="preserve">沪深</t>
    </r>
    <r>
      <rPr>
        <b val="true"/>
        <sz val="15"/>
        <color rgb="FF1F3864"/>
        <rFont val="Arial"/>
        <family val="0"/>
        <charset val="1"/>
      </rPr>
      <t xml:space="preserve">300 vs </t>
    </r>
    <r>
      <rPr>
        <b val="true"/>
        <sz val="15"/>
        <color rgb="FF1F3864"/>
        <rFont val="Noto Sans CJK SC"/>
        <family val="2"/>
      </rPr>
      <t xml:space="preserve">上证 —— 看清回测水分</t>
    </r>
  </si>
  <si>
    <r>
      <rPr>
        <i val="true"/>
        <sz val="9"/>
        <color rgb="FF595959"/>
        <rFont val="Noto Sans CJK SC"/>
        <family val="2"/>
      </rPr>
      <t xml:space="preserve">三者均价格指数。</t>
    </r>
    <r>
      <rPr>
        <i val="true"/>
        <sz val="9"/>
        <color rgb="FF595959"/>
        <rFont val="Arial"/>
        <family val="0"/>
        <charset val="1"/>
      </rPr>
      <t xml:space="preserve">A500</t>
    </r>
    <r>
      <rPr>
        <i val="true"/>
        <sz val="9"/>
        <color rgb="FF595959"/>
        <rFont val="Noto Sans CJK SC"/>
        <family val="2"/>
      </rPr>
      <t xml:space="preserve">与沪深</t>
    </r>
    <r>
      <rPr>
        <i val="true"/>
        <sz val="9"/>
        <color rgb="FF595959"/>
        <rFont val="Arial"/>
        <family val="0"/>
        <charset val="1"/>
      </rPr>
      <t xml:space="preserve">300</t>
    </r>
    <r>
      <rPr>
        <i val="true"/>
        <sz val="9"/>
        <color rgb="FF595959"/>
        <rFont val="Noto Sans CJK SC"/>
        <family val="2"/>
      </rPr>
      <t xml:space="preserve">基日同为</t>
    </r>
    <r>
      <rPr>
        <i val="true"/>
        <sz val="9"/>
        <color rgb="FF595959"/>
        <rFont val="Arial"/>
        <family val="0"/>
        <charset val="1"/>
      </rPr>
      <t xml:space="preserve">2004-12-31=1000</t>
    </r>
    <r>
      <rPr>
        <i val="true"/>
        <sz val="9"/>
        <color rgb="FF595959"/>
        <rFont val="Noto Sans CJK SC"/>
        <family val="2"/>
      </rPr>
      <t xml:space="preserve">。年化</t>
    </r>
    <r>
      <rPr>
        <i val="true"/>
        <sz val="9"/>
        <color rgb="FF595959"/>
        <rFont val="Arial"/>
        <family val="0"/>
        <charset val="1"/>
      </rPr>
      <t xml:space="preserve">cc=ln(1+</t>
    </r>
    <r>
      <rPr>
        <i val="true"/>
        <sz val="9"/>
        <color rgb="FF595959"/>
        <rFont val="Noto Sans CJK SC"/>
        <family val="2"/>
      </rPr>
      <t xml:space="preserve">累计</t>
    </r>
    <r>
      <rPr>
        <i val="true"/>
        <sz val="9"/>
        <color rgb="FF595959"/>
        <rFont val="Arial"/>
        <family val="0"/>
        <charset val="1"/>
      </rPr>
      <t xml:space="preserve">)/n</t>
    </r>
    <r>
      <rPr>
        <i val="true"/>
        <sz val="9"/>
        <color rgb="FF595959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</si>
  <si>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区间年数</t>
    </r>
    <r>
      <rPr>
        <sz val="10"/>
        <color rgb="FF000000"/>
        <rFont val="Arial"/>
        <family val="0"/>
        <charset val="1"/>
      </rPr>
      <t xml:space="preserve">n</t>
    </r>
  </si>
  <si>
    <t xml:space="preserve">(2005.0→2026.0)</t>
  </si>
  <si>
    <t xml:space="preserve">指数</t>
  </si>
  <si>
    <r>
      <rPr>
        <b val="true"/>
        <sz val="10"/>
        <color rgb="FFFFFFFF"/>
        <rFont val="Noto Sans CJK SC"/>
        <family val="2"/>
      </rPr>
      <t xml:space="preserve">累计涨幅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自基日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</si>
  <si>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年化连续复利</t>
  </si>
  <si>
    <t xml:space="preserve">是否自由流通加权</t>
  </si>
  <si>
    <r>
      <rPr>
        <b val="true"/>
        <sz val="10"/>
        <color rgb="FF000000"/>
        <rFont val="Noto Sans CJK SC"/>
        <family val="2"/>
      </rPr>
      <t xml:space="preserve">中证</t>
    </r>
    <r>
      <rPr>
        <b val="true"/>
        <sz val="10"/>
        <color rgb="FF000000"/>
        <rFont val="Arial"/>
        <family val="0"/>
        <charset val="1"/>
      </rPr>
      <t xml:space="preserve">A500</t>
    </r>
  </si>
  <si>
    <r>
      <rPr>
        <sz val="9"/>
        <color rgb="FF595959"/>
        <rFont val="Arial"/>
        <family val="0"/>
        <charset val="1"/>
      </rPr>
      <t xml:space="preserve">2024.9</t>
    </r>
    <r>
      <rPr>
        <sz val="9"/>
        <color rgb="FF595959"/>
        <rFont val="Noto Sans CJK SC"/>
        <family val="2"/>
      </rPr>
      <t xml:space="preserve">后真实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前回测</t>
    </r>
  </si>
  <si>
    <t xml:space="preserve">是</t>
  </si>
  <si>
    <r>
      <rPr>
        <b val="true"/>
        <sz val="10"/>
        <color rgb="FF000000"/>
        <rFont val="Noto Sans CJK SC"/>
        <family val="2"/>
      </rPr>
      <t xml:space="preserve">沪深</t>
    </r>
    <r>
      <rPr>
        <b val="true"/>
        <sz val="10"/>
        <color rgb="FF000000"/>
        <rFont val="Arial"/>
        <family val="0"/>
        <charset val="1"/>
      </rPr>
      <t xml:space="preserve">300</t>
    </r>
  </si>
  <si>
    <r>
      <rPr>
        <sz val="9"/>
        <color rgb="FF595959"/>
        <rFont val="Arial"/>
        <family val="0"/>
        <charset val="1"/>
      </rPr>
      <t xml:space="preserve">2005</t>
    </r>
    <r>
      <rPr>
        <sz val="9"/>
        <color rgb="FF595959"/>
        <rFont val="Noto Sans CJK SC"/>
        <family val="2"/>
      </rPr>
      <t xml:space="preserve">起真实</t>
    </r>
  </si>
  <si>
    <t xml:space="preserve">上证综指</t>
  </si>
  <si>
    <t xml:space="preserve">全程真实但编制失真</t>
  </si>
  <si>
    <r>
      <rPr>
        <sz val="10"/>
        <color rgb="FF000000"/>
        <rFont val="Noto Sans CJK SC"/>
        <family val="2"/>
      </rPr>
      <t xml:space="preserve">否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总股本加权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</si>
  <si>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A500</t>
    </r>
    <r>
      <rPr>
        <b val="true"/>
        <sz val="10"/>
        <color rgb="FF000000"/>
        <rFont val="Noto Sans CJK SC"/>
        <family val="2"/>
      </rPr>
      <t xml:space="preserve">超额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对沪深</t>
    </r>
    <r>
      <rPr>
        <b val="true"/>
        <sz val="10"/>
        <color rgb="FF000000"/>
        <rFont val="Arial"/>
        <family val="0"/>
        <charset val="1"/>
      </rPr>
      <t xml:space="preserve">300)</t>
    </r>
  </si>
  <si>
    <r>
      <rPr>
        <sz val="9"/>
        <color rgb="FF595959"/>
        <rFont val="Arial"/>
        <family val="0"/>
        <charset val="1"/>
      </rPr>
      <t xml:space="preserve">≈97</t>
    </r>
    <r>
      <rPr>
        <sz val="9"/>
        <color rgb="FF595959"/>
        <rFont val="Noto Sans CJK SC"/>
        <family val="2"/>
      </rPr>
      <t xml:space="preserve">个百分点累计超额</t>
    </r>
  </si>
  <si>
    <r>
      <rPr>
        <sz val="9"/>
        <color rgb="FF595959"/>
        <rFont val="Noto Sans CJK SC"/>
        <family val="2"/>
      </rPr>
      <t xml:space="preserve">关键判读：</t>
    </r>
    <r>
      <rPr>
        <sz val="9"/>
        <color rgb="FF595959"/>
        <rFont val="Arial"/>
        <family val="0"/>
        <charset val="1"/>
      </rPr>
      <t xml:space="preserve">A500</t>
    </r>
    <r>
      <rPr>
        <sz val="9"/>
        <color rgb="FF595959"/>
        <rFont val="Noto Sans CJK SC"/>
        <family val="2"/>
      </rPr>
      <t xml:space="preserve">累计约</t>
    </r>
    <r>
      <rPr>
        <sz val="9"/>
        <color rgb="FF595959"/>
        <rFont val="Arial"/>
        <family val="0"/>
        <charset val="1"/>
      </rPr>
      <t xml:space="preserve">+459%</t>
    </r>
    <r>
      <rPr>
        <sz val="9"/>
        <color rgb="FF595959"/>
        <rFont val="Noto Sans CJK SC"/>
        <family val="2"/>
      </rPr>
      <t xml:space="preserve">，沪深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Noto Sans CJK SC"/>
        <family val="2"/>
      </rPr>
      <t xml:space="preserve">约</t>
    </r>
    <r>
      <rPr>
        <sz val="9"/>
        <color rgb="FF595959"/>
        <rFont val="Arial"/>
        <family val="0"/>
        <charset val="1"/>
      </rPr>
      <t xml:space="preserve">+362%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A500"</t>
    </r>
    <r>
      <rPr>
        <sz val="9"/>
        <color rgb="FF595959"/>
        <rFont val="Noto Sans CJK SC"/>
        <family val="2"/>
      </rPr>
      <t xml:space="preserve">跑赢</t>
    </r>
    <r>
      <rPr>
        <sz val="9"/>
        <color rgb="FF595959"/>
        <rFont val="Arial"/>
        <family val="0"/>
        <charset val="1"/>
      </rPr>
      <t xml:space="preserve">"</t>
    </r>
    <r>
      <rPr>
        <sz val="9"/>
        <color rgb="FF595959"/>
        <rFont val="Noto Sans CJK SC"/>
        <family val="2"/>
      </rPr>
      <t xml:space="preserve">约</t>
    </r>
    <r>
      <rPr>
        <sz val="9"/>
        <color rgb="FF595959"/>
        <rFont val="Arial"/>
        <family val="0"/>
        <charset val="1"/>
      </rPr>
      <t xml:space="preserve">97</t>
    </r>
    <r>
      <rPr>
        <sz val="9"/>
        <color rgb="FF595959"/>
        <rFont val="Noto Sans CJK SC"/>
        <family val="2"/>
      </rPr>
      <t xml:space="preserve">个百分点。</t>
    </r>
  </si>
  <si>
    <r>
      <rPr>
        <sz val="9"/>
        <color rgb="FF595959"/>
        <rFont val="Noto Sans CJK SC"/>
        <family val="2"/>
      </rPr>
      <t xml:space="preserve">但</t>
    </r>
    <r>
      <rPr>
        <sz val="9"/>
        <color rgb="FF595959"/>
        <rFont val="Arial"/>
        <family val="0"/>
        <charset val="1"/>
      </rPr>
      <t xml:space="preserve">A500</t>
    </r>
    <r>
      <rPr>
        <sz val="9"/>
        <color rgb="FF595959"/>
        <rFont val="Noto Sans CJK SC"/>
        <family val="2"/>
      </rPr>
      <t xml:space="preserve">这段</t>
    </r>
    <r>
      <rPr>
        <sz val="9"/>
        <color rgb="FF595959"/>
        <rFont val="Arial"/>
        <family val="0"/>
        <charset val="1"/>
      </rPr>
      <t xml:space="preserve">(2005–2024)</t>
    </r>
    <r>
      <rPr>
        <sz val="9"/>
        <color rgb="FF595959"/>
        <rFont val="Noto Sans CJK SC"/>
        <family val="2"/>
      </rPr>
      <t xml:space="preserve">几乎全是</t>
    </r>
    <r>
      <rPr>
        <sz val="9"/>
        <color rgb="FF595959"/>
        <rFont val="Arial"/>
        <family val="0"/>
        <charset val="1"/>
      </rPr>
      <t xml:space="preserve">2024</t>
    </r>
    <r>
      <rPr>
        <sz val="9"/>
        <color rgb="FF595959"/>
        <rFont val="Noto Sans CJK SC"/>
        <family val="2"/>
      </rPr>
      <t xml:space="preserve">年事后回测</t>
    </r>
    <r>
      <rPr>
        <sz val="9"/>
        <color rgb="FF595959"/>
        <rFont val="Arial"/>
        <family val="0"/>
        <charset val="1"/>
      </rPr>
      <t xml:space="preserve">,</t>
    </r>
    <r>
      <rPr>
        <sz val="9"/>
        <color rgb="FF595959"/>
        <rFont val="Noto Sans CJK SC"/>
        <family val="2"/>
      </rPr>
      <t xml:space="preserve">二者基日又相同——这份超额很大程度是</t>
    </r>
    <r>
      <rPr>
        <sz val="9"/>
        <color rgb="FF595959"/>
        <rFont val="Arial"/>
        <family val="0"/>
        <charset val="1"/>
      </rPr>
      <t xml:space="preserve">"</t>
    </r>
    <r>
      <rPr>
        <sz val="9"/>
        <color rgb="FF595959"/>
        <rFont val="Noto Sans CJK SC"/>
        <family val="2"/>
      </rPr>
      <t xml:space="preserve">用今天的龙头回看过去</t>
    </r>
    <r>
      <rPr>
        <sz val="9"/>
        <color rgb="FF595959"/>
        <rFont val="Arial"/>
        <family val="0"/>
        <charset val="1"/>
      </rPr>
      <t xml:space="preserve">"</t>
    </r>
    <r>
      <rPr>
        <sz val="9"/>
        <color rgb="FF595959"/>
        <rFont val="Noto Sans CJK SC"/>
        <family val="2"/>
      </rPr>
      <t xml:space="preserve">的幸存者偏差。</t>
    </r>
  </si>
  <si>
    <r>
      <rPr>
        <sz val="9"/>
        <color rgb="FF595959"/>
        <rFont val="Noto Sans CJK SC"/>
        <family val="2"/>
      </rPr>
      <t xml:space="preserve">真正干净可比的</t>
    </r>
    <r>
      <rPr>
        <sz val="9"/>
        <color rgb="FF595959"/>
        <rFont val="Arial"/>
        <family val="0"/>
        <charset val="1"/>
      </rPr>
      <t xml:space="preserve">,</t>
    </r>
    <r>
      <rPr>
        <sz val="9"/>
        <color rgb="FF595959"/>
        <rFont val="Noto Sans CJK SC"/>
        <family val="2"/>
      </rPr>
      <t xml:space="preserve">是</t>
    </r>
    <r>
      <rPr>
        <sz val="9"/>
        <color rgb="FF595959"/>
        <rFont val="Arial"/>
        <family val="0"/>
        <charset val="1"/>
      </rPr>
      <t xml:space="preserve">2024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月</t>
    </r>
    <r>
      <rPr>
        <sz val="9"/>
        <color rgb="FF595959"/>
        <rFont val="Arial"/>
        <family val="0"/>
        <charset val="1"/>
      </rPr>
      <t xml:space="preserve">A500</t>
    </r>
    <r>
      <rPr>
        <sz val="9"/>
        <color rgb="FF595959"/>
        <rFont val="Noto Sans CJK SC"/>
        <family val="2"/>
      </rPr>
      <t xml:space="preserve">发布之后的实盘走势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目前两者差距远没回测显示的那么大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</si>
  <si>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结论：</t>
    </r>
    <r>
      <rPr>
        <sz val="9"/>
        <color rgb="FF595959"/>
        <rFont val="Arial"/>
        <family val="0"/>
        <charset val="1"/>
      </rPr>
      <t xml:space="preserve">A500</t>
    </r>
    <r>
      <rPr>
        <sz val="9"/>
        <color rgb="FF595959"/>
        <rFont val="Noto Sans CJK SC"/>
        <family val="2"/>
      </rPr>
      <t xml:space="preserve">适合做</t>
    </r>
    <r>
      <rPr>
        <sz val="9"/>
        <color rgb="FF595959"/>
        <rFont val="Arial"/>
        <family val="0"/>
        <charset val="1"/>
      </rPr>
      <t xml:space="preserve">"</t>
    </r>
    <r>
      <rPr>
        <sz val="9"/>
        <color rgb="FF595959"/>
        <rFont val="Noto Sans CJK SC"/>
        <family val="2"/>
      </rPr>
      <t xml:space="preserve">现在与未来</t>
    </r>
    <r>
      <rPr>
        <sz val="9"/>
        <color rgb="FF595959"/>
        <rFont val="Arial"/>
        <family val="0"/>
        <charset val="1"/>
      </rPr>
      <t xml:space="preserve">"</t>
    </r>
    <r>
      <rPr>
        <sz val="9"/>
        <color rgb="FF595959"/>
        <rFont val="Noto Sans CJK SC"/>
        <family val="2"/>
      </rPr>
      <t xml:space="preserve">的主轴；用它讲</t>
    </r>
    <r>
      <rPr>
        <sz val="9"/>
        <color rgb="FF595959"/>
        <rFont val="Arial"/>
        <family val="0"/>
        <charset val="1"/>
      </rPr>
      <t xml:space="preserve">"</t>
    </r>
    <r>
      <rPr>
        <sz val="9"/>
        <color rgb="FF595959"/>
        <rFont val="Noto Sans CJK SC"/>
        <family val="2"/>
      </rPr>
      <t xml:space="preserve">过去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股回报</t>
    </r>
    <r>
      <rPr>
        <sz val="9"/>
        <color rgb="FF595959"/>
        <rFont val="Arial"/>
        <family val="0"/>
        <charset val="1"/>
      </rPr>
      <t xml:space="preserve">"</t>
    </r>
    <r>
      <rPr>
        <sz val="9"/>
        <color rgb="FF595959"/>
        <rFont val="Noto Sans CJK SC"/>
        <family val="2"/>
      </rPr>
      <t xml:space="preserve">时</t>
    </r>
    <r>
      <rPr>
        <sz val="9"/>
        <color rgb="FF595959"/>
        <rFont val="Arial"/>
        <family val="0"/>
        <charset val="1"/>
      </rPr>
      <t xml:space="preserve">,</t>
    </r>
    <r>
      <rPr>
        <sz val="9"/>
        <color rgb="FF595959"/>
        <rFont val="Noto Sans CJK SC"/>
        <family val="2"/>
      </rPr>
      <t xml:space="preserve">必须用沪深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Noto Sans CJK SC"/>
        <family val="2"/>
      </rPr>
      <t xml:space="preserve">这条真实线打折校验。</t>
    </r>
  </si>
  <si>
    <r>
      <rPr>
        <b val="true"/>
        <sz val="15"/>
        <color rgb="FF1F3864"/>
        <rFont val="Noto Sans CJK SC"/>
        <family val="2"/>
      </rPr>
      <t xml:space="preserve">基期敏感性：换个起点结论就反转</t>
    </r>
    <r>
      <rPr>
        <b val="true"/>
        <sz val="15"/>
        <color rgb="FF1F3864"/>
        <rFont val="Arial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</rPr>
      <t xml:space="preserve">以上证为例</t>
    </r>
    <r>
      <rPr>
        <b val="true"/>
        <sz val="15"/>
        <color rgb="FF1F3864"/>
        <rFont val="Arial"/>
        <family val="0"/>
        <charset val="1"/>
      </rPr>
      <t xml:space="preserve">,</t>
    </r>
    <r>
      <rPr>
        <b val="true"/>
        <sz val="15"/>
        <color rgb="FF1F3864"/>
        <rFont val="Noto Sans CJK SC"/>
        <family val="2"/>
      </rPr>
      <t xml:space="preserve">全程真实数据</t>
    </r>
    <r>
      <rPr>
        <b val="true"/>
        <sz val="15"/>
        <color rgb="FF1F3864"/>
        <rFont val="Arial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</si>
  <si>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终点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上证现值约</t>
    </r>
    <r>
      <rPr>
        <i val="true"/>
        <sz val="9"/>
        <color rgb="FF595959"/>
        <rFont val="Arial"/>
        <family val="0"/>
        <charset val="1"/>
      </rPr>
      <t xml:space="preserve">4100</t>
    </r>
    <r>
      <rPr>
        <i val="true"/>
        <sz val="9"/>
        <color rgb="FF595959"/>
        <rFont val="Noto Sans CJK SC"/>
        <family val="2"/>
      </rPr>
      <t xml:space="preserve">点。说明</t>
    </r>
    <r>
      <rPr>
        <i val="true"/>
        <sz val="9"/>
        <color rgb="FF595959"/>
        <rFont val="Arial"/>
        <family val="0"/>
        <charset val="1"/>
      </rPr>
      <t xml:space="preserve">"-35%"</t>
    </r>
    <r>
      <rPr>
        <i val="true"/>
        <sz val="9"/>
        <color rgb="FF595959"/>
        <rFont val="Noto Sans CJK SC"/>
        <family val="2"/>
      </rPr>
      <t xml:space="preserve">只是挑了</t>
    </r>
    <r>
      <rPr>
        <i val="true"/>
        <sz val="9"/>
        <color rgb="FF595959"/>
        <rFont val="Arial"/>
        <family val="0"/>
        <charset val="1"/>
      </rPr>
      <t xml:space="preserve">2007</t>
    </r>
    <r>
      <rPr>
        <i val="true"/>
        <sz val="9"/>
        <color rgb="FF595959"/>
        <rFont val="Noto Sans CJK SC"/>
        <family val="2"/>
      </rPr>
      <t xml:space="preserve">泡沫顶这一个最差起点的结果。</t>
    </r>
  </si>
  <si>
    <t xml:space="preserve">终点点位</t>
  </si>
  <si>
    <t xml:space="preserve">起点</t>
  </si>
  <si>
    <t xml:space="preserve">起点点位</t>
  </si>
  <si>
    <t xml:space="preserve">距今累计</t>
  </si>
  <si>
    <r>
      <rPr>
        <sz val="10"/>
        <color rgb="FF000000"/>
        <rFont val="Arial"/>
        <family val="0"/>
        <charset val="1"/>
      </rPr>
      <t xml:space="preserve">1990 </t>
    </r>
    <r>
      <rPr>
        <sz val="10"/>
        <color rgb="FF000000"/>
        <rFont val="Noto Sans CJK SC"/>
        <family val="2"/>
      </rPr>
      <t xml:space="preserve">上市</t>
    </r>
  </si>
  <si>
    <r>
      <rPr>
        <sz val="10"/>
        <color rgb="FF000000"/>
        <rFont val="Arial"/>
        <family val="0"/>
        <charset val="1"/>
      </rPr>
      <t xml:space="preserve">2005 </t>
    </r>
    <r>
      <rPr>
        <sz val="10"/>
        <color rgb="FF000000"/>
        <rFont val="Noto Sans CJK SC"/>
        <family val="2"/>
      </rPr>
      <t xml:space="preserve">千点底</t>
    </r>
  </si>
  <si>
    <r>
      <rPr>
        <b val="true"/>
        <sz val="10"/>
        <color rgb="FF000000"/>
        <rFont val="Arial"/>
        <family val="0"/>
        <charset val="1"/>
      </rPr>
      <t xml:space="preserve">2007 </t>
    </r>
    <r>
      <rPr>
        <b val="true"/>
        <sz val="10"/>
        <color rgb="FF000000"/>
        <rFont val="Noto Sans CJK SC"/>
        <family val="2"/>
      </rPr>
      <t xml:space="preserve">历史大顶</t>
    </r>
  </si>
  <si>
    <r>
      <rPr>
        <sz val="10"/>
        <color rgb="FF000000"/>
        <rFont val="Arial"/>
        <family val="0"/>
        <charset val="1"/>
      </rPr>
      <t xml:space="preserve">2008 </t>
    </r>
    <r>
      <rPr>
        <sz val="10"/>
        <color rgb="FF000000"/>
        <rFont val="Noto Sans CJK SC"/>
        <family val="2"/>
      </rPr>
      <t xml:space="preserve">危机底</t>
    </r>
  </si>
  <si>
    <r>
      <rPr>
        <b val="true"/>
        <sz val="10"/>
        <color rgb="FF000000"/>
        <rFont val="Arial"/>
        <family val="0"/>
        <charset val="1"/>
      </rPr>
      <t xml:space="preserve">2015 </t>
    </r>
    <r>
      <rPr>
        <b val="true"/>
        <sz val="10"/>
        <color rgb="FF000000"/>
        <rFont val="Noto Sans CJK SC"/>
        <family val="2"/>
      </rPr>
      <t xml:space="preserve">杠杆牛顶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</si>
  <si>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年内低</t>
    </r>
  </si>
  <si>
    <r>
      <rPr>
        <sz val="9"/>
        <color rgb="FF595959"/>
        <rFont val="Noto Sans CJK SC"/>
        <family val="2"/>
      </rPr>
      <t xml:space="preserve">除</t>
    </r>
    <r>
      <rPr>
        <sz val="9"/>
        <color rgb="FF595959"/>
        <rFont val="Arial"/>
        <family val="0"/>
        <charset val="1"/>
      </rPr>
      <t xml:space="preserve">2007/2015</t>
    </r>
    <r>
      <rPr>
        <sz val="9"/>
        <color rgb="FF595959"/>
        <rFont val="Noto Sans CJK SC"/>
        <family val="2"/>
      </rPr>
      <t xml:space="preserve">两个泡沫顶外</t>
    </r>
    <r>
      <rPr>
        <sz val="9"/>
        <color rgb="FF595959"/>
        <rFont val="Arial"/>
        <family val="0"/>
        <charset val="1"/>
      </rPr>
      <t xml:space="preserve">,</t>
    </r>
    <r>
      <rPr>
        <sz val="9"/>
        <color rgb="FF595959"/>
        <rFont val="Noto Sans CJK SC"/>
        <family val="2"/>
      </rPr>
      <t xml:space="preserve">几乎所有起点都是正的——这才是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股长期收益的真实分布。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</si>
</sst>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"/>
    <numFmt numFmtId="167" formatCode="#,##0"/>
    <numFmt numFmtId="168" formatCode="0.0%"/>
    <numFmt numFmtId="169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5"/>
      <color rgb="FF1F3864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9C2D2D"/>
      <name val="Noto Sans CJK SC"/>
      <family val="2"/>
    </font>
    <font>
      <b val="true"/>
      <sz val="10"/>
      <color rgb="FF9C2D2D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1"/>
      <color rgb="FF1F3864"/>
      <name val="Noto Sans CJK SC"/>
      <family val="2"/>
    </font>
    <font>
      <b val="true"/>
      <sz val="11"/>
      <color rgb="FF1F3864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CE4E4"/>
        <bgColor rgb="FFF4E1F4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F4E1F4"/>
        <bgColor rgb="FFFCE4E4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4E1F4"/>
      <rgbColor rgb="FF99CCFF"/>
      <rgbColor rgb="FFFF99CC"/>
      <rgbColor rgb="FFCC99FF"/>
      <rgbColor rgb="FFFCE4E4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2D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现代段(2005至今)年化连续复利对比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现代段对比!C5</c:f>
              <c:strCache>
                <c:ptCount val="1"/>
                <c:pt idx="0">
                  <c:v>年化连续复利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现代段对比!$A$6:$A$8</c:f>
              <c:strCache>
                <c:ptCount val="3"/>
                <c:pt idx="0">
                  <c:v>中证A500</c:v>
                </c:pt>
                <c:pt idx="1">
                  <c:v>沪深300</c:v>
                </c:pt>
                <c:pt idx="2">
                  <c:v>上证综指</c:v>
                </c:pt>
              </c:strCache>
            </c:strRef>
          </c:cat>
          <c:val>
            <c:numRef>
              <c:f>现代段对比!$C$6:$C$8</c:f>
              <c:numCache>
                <c:formatCode>0.0%</c:formatCode>
                <c:ptCount val="3"/>
                <c:pt idx="0">
                  <c:v>0.0819718349110254</c:v>
                </c:pt>
                <c:pt idx="1">
                  <c:v>0.0728831527984715</c:v>
                </c:pt>
                <c:pt idx="2">
                  <c:v>0.0567548306568377</c:v>
                </c:pt>
              </c:numCache>
            </c:numRef>
          </c:val>
        </c:ser>
        <c:gapWidth val="150"/>
        <c:overlap val="0"/>
        <c:axId val="43297283"/>
        <c:axId val="89916802"/>
      </c:barChart>
      <c:catAx>
        <c:axId val="432972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16802"/>
        <c:crosses val="autoZero"/>
        <c:auto val="1"/>
        <c:lblAlgn val="ctr"/>
        <c:lblOffset val="100"/>
        <c:noMultiLvlLbl val="0"/>
      </c:catAx>
      <c:valAx>
        <c:axId val="899168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年化cc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972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98640</xdr:rowOff>
    </xdr:from>
    <xdr:to>
      <xdr:col>15</xdr:col>
      <xdr:colOff>507600</xdr:colOff>
      <xdr:row>15</xdr:row>
      <xdr:rowOff>170280</xdr:rowOff>
    </xdr:to>
    <xdr:graphicFrame>
      <xdr:nvGraphicFramePr>
        <xdr:cNvPr id="0" name="Chart 1"/>
        <xdr:cNvGraphicFramePr/>
      </xdr:nvGraphicFramePr>
      <xdr:xfrm>
        <a:off x="7800840" y="76212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2"/>
  </cols>
  <sheetData>
    <row r="1" customFormat="false" ht="23.1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8" hidden="false" customHeight="true" outlineLevel="0" collapsed="false">
      <c r="B4" s="3" t="s">
        <v>2</v>
      </c>
    </row>
    <row r="5" customFormat="false" ht="57.75" hidden="false" customHeight="true" outlineLevel="0" collapsed="false">
      <c r="B5" s="4" t="s">
        <v>3</v>
      </c>
    </row>
    <row r="6" customFormat="false" ht="18" hidden="false" customHeight="true" outlineLevel="0" collapsed="false">
      <c r="B6" s="5" t="s">
        <v>4</v>
      </c>
    </row>
    <row r="7" customFormat="false" ht="57.75" hidden="false" customHeight="true" outlineLevel="0" collapsed="false">
      <c r="B7" s="4" t="s">
        <v>5</v>
      </c>
    </row>
    <row r="8" customFormat="false" ht="18" hidden="false" customHeight="true" outlineLevel="0" collapsed="false">
      <c r="B8" s="5" t="s">
        <v>6</v>
      </c>
    </row>
    <row r="9" customFormat="false" ht="57.75" hidden="false" customHeight="true" outlineLevel="0" collapsed="false">
      <c r="B9" s="6" t="s">
        <v>7</v>
      </c>
    </row>
    <row r="10" customFormat="false" ht="18" hidden="false" customHeight="true" outlineLevel="0" collapsed="false">
      <c r="B10" s="5" t="s">
        <v>8</v>
      </c>
    </row>
    <row r="11" customFormat="false" ht="57.75" hidden="false" customHeight="true" outlineLevel="0" collapsed="false">
      <c r="B11" s="4" t="s">
        <v>9</v>
      </c>
    </row>
    <row r="12" customFormat="false" ht="18" hidden="false" customHeight="true" outlineLevel="0" collapsed="false">
      <c r="B12" s="5" t="s">
        <v>10</v>
      </c>
    </row>
    <row r="13" customFormat="false" ht="57.75" hidden="false" customHeight="true" outlineLevel="0" collapsed="false">
      <c r="B13" s="4" t="s">
        <v>11</v>
      </c>
    </row>
    <row r="14" customFormat="false" ht="18" hidden="false" customHeight="true" outlineLevel="0" collapsed="false">
      <c r="B14" s="5" t="s">
        <v>12</v>
      </c>
    </row>
    <row r="15" customFormat="false" ht="57.75" hidden="false" customHeight="true" outlineLevel="0" collapsed="false">
      <c r="B15" s="4" t="s">
        <v>13</v>
      </c>
    </row>
    <row r="16" customFormat="false" ht="39.75" hidden="false" customHeight="true" outlineLevel="0" collapsed="false">
      <c r="B16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22"/>
  </cols>
  <sheetData>
    <row r="1" customFormat="false" ht="23.1" hidden="false" customHeight="false" outlineLevel="0" collapsed="false">
      <c r="A1" s="8" t="s">
        <v>15</v>
      </c>
      <c r="B1" s="8"/>
      <c r="C1" s="8"/>
      <c r="D1" s="8"/>
      <c r="E1" s="8"/>
      <c r="F1" s="8"/>
      <c r="G1" s="8"/>
      <c r="H1" s="8"/>
    </row>
    <row r="2" customFormat="false" ht="14.15" hidden="false" customHeight="false" outlineLevel="0" collapsed="false">
      <c r="A2" s="9" t="s">
        <v>16</v>
      </c>
      <c r="B2" s="9"/>
      <c r="C2" s="9"/>
      <c r="D2" s="9"/>
      <c r="E2" s="9"/>
      <c r="F2" s="9"/>
      <c r="G2" s="9"/>
      <c r="H2" s="9"/>
    </row>
    <row r="3" customFormat="false" ht="15" hidden="false" customHeight="false" outlineLevel="0" collapsed="false">
      <c r="A3" s="10" t="s">
        <v>17</v>
      </c>
      <c r="B3" s="11" t="n">
        <v>2026.41</v>
      </c>
    </row>
    <row r="5" customFormat="false" ht="27.75" hidden="false" customHeight="true" outlineLevel="0" collapsed="false">
      <c r="A5" s="12" t="s">
        <v>18</v>
      </c>
      <c r="B5" s="12" t="s">
        <v>19</v>
      </c>
      <c r="C5" s="12" t="s">
        <v>20</v>
      </c>
      <c r="D5" s="12" t="s">
        <v>21</v>
      </c>
      <c r="E5" s="12" t="s">
        <v>22</v>
      </c>
      <c r="F5" s="12" t="s">
        <v>23</v>
      </c>
      <c r="G5" s="12" t="s">
        <v>24</v>
      </c>
      <c r="H5" s="12" t="s">
        <v>25</v>
      </c>
    </row>
    <row r="6" customFormat="false" ht="15" hidden="false" customHeight="false" outlineLevel="0" collapsed="false">
      <c r="A6" s="13" t="n">
        <v>1990</v>
      </c>
      <c r="B6" s="14" t="n">
        <v>1991</v>
      </c>
      <c r="C6" s="15" t="s">
        <v>26</v>
      </c>
      <c r="D6" s="16" t="n">
        <v>127.61</v>
      </c>
      <c r="E6" s="17" t="s">
        <v>27</v>
      </c>
      <c r="F6" s="18" t="n">
        <f aca="false">$B$3-B6</f>
        <v>35.4100000000001</v>
      </c>
      <c r="G6" s="19" t="n">
        <f aca="false">LN(4100/D6)/F6</f>
        <v>0.0979882382080346</v>
      </c>
      <c r="H6" s="20" t="s">
        <v>28</v>
      </c>
    </row>
    <row r="7" customFormat="false" ht="15" hidden="false" customHeight="false" outlineLevel="0" collapsed="false">
      <c r="A7" s="13" t="n">
        <v>1995</v>
      </c>
      <c r="B7" s="14" t="n">
        <v>1996</v>
      </c>
      <c r="C7" s="15" t="s">
        <v>26</v>
      </c>
      <c r="D7" s="16" t="n">
        <v>555.29</v>
      </c>
      <c r="E7" s="17" t="s">
        <v>27</v>
      </c>
      <c r="F7" s="18" t="n">
        <f aca="false">$B$3-B7</f>
        <v>30.4100000000001</v>
      </c>
      <c r="G7" s="19" t="n">
        <f aca="false">LN(4100/D7)/F7</f>
        <v>0.0657432342285694</v>
      </c>
      <c r="H7" s="20" t="s">
        <v>28</v>
      </c>
    </row>
    <row r="8" customFormat="false" ht="15" hidden="false" customHeight="false" outlineLevel="0" collapsed="false">
      <c r="A8" s="13" t="n">
        <v>2000</v>
      </c>
      <c r="B8" s="14" t="n">
        <v>2001</v>
      </c>
      <c r="C8" s="15" t="s">
        <v>26</v>
      </c>
      <c r="D8" s="16" t="n">
        <v>2073.48</v>
      </c>
      <c r="E8" s="17" t="s">
        <v>27</v>
      </c>
      <c r="F8" s="18" t="n">
        <f aca="false">$B$3-B8</f>
        <v>25.4100000000001</v>
      </c>
      <c r="G8" s="19" t="n">
        <f aca="false">LN(4100/D8)/F8</f>
        <v>0.0268303273742372</v>
      </c>
      <c r="H8" s="20" t="s">
        <v>28</v>
      </c>
    </row>
    <row r="9" customFormat="false" ht="15" hidden="false" customHeight="false" outlineLevel="0" collapsed="false">
      <c r="A9" s="13" t="n">
        <v>2004</v>
      </c>
      <c r="B9" s="14" t="n">
        <v>2005</v>
      </c>
      <c r="C9" s="15" t="s">
        <v>26</v>
      </c>
      <c r="D9" s="16" t="n">
        <v>1266.5</v>
      </c>
      <c r="E9" s="17" t="s">
        <v>27</v>
      </c>
      <c r="F9" s="18" t="n">
        <f aca="false">$B$3-B9</f>
        <v>21.4100000000001</v>
      </c>
      <c r="G9" s="19" t="n">
        <f aca="false">LN(4100/D9)/F9</f>
        <v>0.0548682757239918</v>
      </c>
      <c r="H9" s="20" t="s">
        <v>29</v>
      </c>
    </row>
    <row r="10" customFormat="false" ht="15" hidden="false" customHeight="false" outlineLevel="0" collapsed="false">
      <c r="A10" s="21" t="n">
        <v>2005</v>
      </c>
      <c r="B10" s="22" t="n">
        <v>2006</v>
      </c>
      <c r="C10" s="23" t="s">
        <v>30</v>
      </c>
      <c r="D10" s="24" t="n">
        <v>1093</v>
      </c>
      <c r="E10" s="25" t="s">
        <v>27</v>
      </c>
      <c r="F10" s="26" t="n">
        <f aca="false">$B$3-B10</f>
        <v>20.4100000000001</v>
      </c>
      <c r="G10" s="27" t="n">
        <f aca="false">LN(5650/D10)/F10</f>
        <v>0.0804864936778021</v>
      </c>
      <c r="H10" s="28" t="s">
        <v>31</v>
      </c>
    </row>
    <row r="11" customFormat="false" ht="15" hidden="false" customHeight="false" outlineLevel="0" collapsed="false">
      <c r="A11" s="21" t="n">
        <v>2007</v>
      </c>
      <c r="B11" s="22" t="n">
        <v>2008</v>
      </c>
      <c r="C11" s="23" t="s">
        <v>30</v>
      </c>
      <c r="D11" s="24" t="n">
        <v>5500</v>
      </c>
      <c r="E11" s="25" t="s">
        <v>27</v>
      </c>
      <c r="F11" s="26" t="n">
        <f aca="false">$B$3-B11</f>
        <v>18.4100000000001</v>
      </c>
      <c r="G11" s="27" t="n">
        <f aca="false">LN(5650/D11)/F11</f>
        <v>0.00146156724171235</v>
      </c>
      <c r="H11" s="28" t="s">
        <v>32</v>
      </c>
    </row>
    <row r="12" customFormat="false" ht="15" hidden="false" customHeight="false" outlineLevel="0" collapsed="false">
      <c r="A12" s="21" t="n">
        <v>2008</v>
      </c>
      <c r="B12" s="22" t="n">
        <v>2009</v>
      </c>
      <c r="C12" s="23" t="s">
        <v>30</v>
      </c>
      <c r="D12" s="24" t="n">
        <v>2100</v>
      </c>
      <c r="E12" s="25" t="s">
        <v>27</v>
      </c>
      <c r="F12" s="26" t="n">
        <f aca="false">$B$3-B12</f>
        <v>17.4100000000001</v>
      </c>
      <c r="G12" s="27" t="n">
        <f aca="false">LN(5650/D12)/F12</f>
        <v>0.0568476852630079</v>
      </c>
      <c r="H12" s="28" t="s">
        <v>31</v>
      </c>
    </row>
    <row r="13" customFormat="false" ht="15" hidden="false" customHeight="false" outlineLevel="0" collapsed="false">
      <c r="A13" s="21" t="n">
        <v>2015</v>
      </c>
      <c r="B13" s="22" t="n">
        <v>2016</v>
      </c>
      <c r="C13" s="23" t="s">
        <v>30</v>
      </c>
      <c r="D13" s="24" t="n">
        <v>5000</v>
      </c>
      <c r="E13" s="25" t="s">
        <v>27</v>
      </c>
      <c r="F13" s="26" t="n">
        <f aca="false">$B$3-B13</f>
        <v>10.4100000000001</v>
      </c>
      <c r="G13" s="27" t="n">
        <f aca="false">LN(5650/D13)/F13</f>
        <v>0.0117404066017529</v>
      </c>
      <c r="H13" s="28" t="s">
        <v>33</v>
      </c>
    </row>
    <row r="14" customFormat="false" ht="15" hidden="false" customHeight="false" outlineLevel="0" collapsed="false">
      <c r="A14" s="21" t="n">
        <v>2019</v>
      </c>
      <c r="B14" s="22" t="n">
        <v>2020</v>
      </c>
      <c r="C14" s="23" t="s">
        <v>30</v>
      </c>
      <c r="D14" s="24" t="n">
        <v>3500</v>
      </c>
      <c r="E14" s="25" t="s">
        <v>27</v>
      </c>
      <c r="F14" s="26" t="n">
        <f aca="false">$B$3-B14</f>
        <v>6.41000000000008</v>
      </c>
      <c r="G14" s="27" t="n">
        <f aca="false">LN(5650/D14)/F14</f>
        <v>0.0747102303686389</v>
      </c>
      <c r="H14" s="28" t="s">
        <v>31</v>
      </c>
    </row>
    <row r="15" customFormat="false" ht="15" hidden="false" customHeight="false" outlineLevel="0" collapsed="false">
      <c r="A15" s="29" t="n">
        <v>2024</v>
      </c>
      <c r="B15" s="30" t="n">
        <v>2024.73</v>
      </c>
      <c r="C15" s="31" t="s">
        <v>30</v>
      </c>
      <c r="D15" s="32" t="n">
        <v>3717</v>
      </c>
      <c r="E15" s="33" t="s">
        <v>27</v>
      </c>
      <c r="F15" s="34" t="n">
        <f aca="false">$B$3-B15</f>
        <v>1.68000000000006</v>
      </c>
      <c r="G15" s="35" t="n">
        <f aca="false">LN(5650/D15)/F15</f>
        <v>0.249249198716202</v>
      </c>
      <c r="H15" s="36" t="s">
        <v>34</v>
      </c>
    </row>
    <row r="16" customFormat="false" ht="15" hidden="false" customHeight="false" outlineLevel="0" collapsed="false">
      <c r="A16" s="29" t="n">
        <v>2025</v>
      </c>
      <c r="B16" s="30" t="n">
        <v>2026</v>
      </c>
      <c r="C16" s="31" t="s">
        <v>30</v>
      </c>
      <c r="D16" s="32" t="n">
        <v>5092</v>
      </c>
      <c r="E16" s="33" t="s">
        <v>27</v>
      </c>
      <c r="F16" s="34" t="n">
        <f aca="false">$B$3-B16</f>
        <v>0.410000000000082</v>
      </c>
      <c r="G16" s="35" t="n">
        <f aca="false">LN(5650/D16)/F16</f>
        <v>0.253621620641875</v>
      </c>
      <c r="H16" s="36" t="s">
        <v>35</v>
      </c>
    </row>
    <row r="17" customFormat="false" ht="15" hidden="false" customHeight="false" outlineLevel="0" collapsed="false">
      <c r="A17" s="29" t="n">
        <v>2026</v>
      </c>
      <c r="B17" s="30" t="n">
        <v>2026.41</v>
      </c>
      <c r="C17" s="31" t="s">
        <v>30</v>
      </c>
      <c r="D17" s="32" t="n">
        <v>5650</v>
      </c>
      <c r="E17" s="33" t="s">
        <v>27</v>
      </c>
      <c r="F17" s="34" t="n">
        <f aca="false">$B$3-B17</f>
        <v>0</v>
      </c>
      <c r="G17" s="37" t="s">
        <v>36</v>
      </c>
      <c r="H17" s="36" t="s">
        <v>37</v>
      </c>
    </row>
    <row r="19" customFormat="false" ht="15" hidden="false" customHeight="true" outlineLevel="0" collapsed="false">
      <c r="A19" s="38" t="s">
        <v>38</v>
      </c>
      <c r="B19" s="38"/>
      <c r="C19" s="38"/>
      <c r="D19" s="38"/>
      <c r="E19" s="38"/>
      <c r="F19" s="38"/>
      <c r="G19" s="38"/>
      <c r="H19" s="38"/>
    </row>
    <row r="20" customFormat="false" ht="15" hidden="false" customHeight="false" outlineLevel="0" collapsed="false">
      <c r="A20" s="38"/>
      <c r="B20" s="38"/>
      <c r="C20" s="38"/>
      <c r="D20" s="38"/>
      <c r="E20" s="38"/>
      <c r="F20" s="38"/>
      <c r="G20" s="38"/>
      <c r="H20" s="38"/>
    </row>
  </sheetData>
  <mergeCells count="3">
    <mergeCell ref="A1:H1"/>
    <mergeCell ref="A2:H2"/>
    <mergeCell ref="A19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6" min="6" style="0" width="12"/>
  </cols>
  <sheetData>
    <row r="1" customFormat="false" ht="23.1" hidden="false" customHeight="false" outlineLevel="0" collapsed="false">
      <c r="A1" s="8" t="s">
        <v>39</v>
      </c>
      <c r="B1" s="8"/>
      <c r="C1" s="8"/>
      <c r="D1" s="8"/>
      <c r="E1" s="8"/>
      <c r="F1" s="8"/>
    </row>
    <row r="2" customFormat="false" ht="14.15" hidden="false" customHeight="false" outlineLevel="0" collapsed="false">
      <c r="A2" s="9" t="s">
        <v>40</v>
      </c>
      <c r="B2" s="9"/>
      <c r="C2" s="9"/>
      <c r="D2" s="9"/>
      <c r="E2" s="9"/>
      <c r="F2" s="9"/>
    </row>
    <row r="3" customFormat="false" ht="15" hidden="false" customHeight="false" outlineLevel="0" collapsed="false">
      <c r="A3" s="10" t="s">
        <v>41</v>
      </c>
      <c r="B3" s="11" t="n">
        <v>21</v>
      </c>
      <c r="C3" s="39" t="s">
        <v>42</v>
      </c>
    </row>
    <row r="5" customFormat="false" ht="27.75" hidden="false" customHeight="true" outlineLevel="0" collapsed="false">
      <c r="A5" s="12" t="s">
        <v>43</v>
      </c>
      <c r="B5" s="12" t="s">
        <v>44</v>
      </c>
      <c r="C5" s="12" t="s">
        <v>45</v>
      </c>
      <c r="D5" s="12" t="s">
        <v>25</v>
      </c>
      <c r="E5" s="12" t="s">
        <v>46</v>
      </c>
      <c r="F5" s="12"/>
    </row>
    <row r="6" customFormat="false" ht="15" hidden="false" customHeight="false" outlineLevel="0" collapsed="false">
      <c r="A6" s="40" t="s">
        <v>47</v>
      </c>
      <c r="B6" s="41" t="n">
        <v>4.5924</v>
      </c>
      <c r="C6" s="27" t="n">
        <f aca="false">LN(1+B6)/$B$3</f>
        <v>0.0819718349110254</v>
      </c>
      <c r="D6" s="28" t="s">
        <v>48</v>
      </c>
      <c r="E6" s="42" t="s">
        <v>49</v>
      </c>
      <c r="F6" s="43"/>
    </row>
    <row r="7" customFormat="false" ht="15" hidden="false" customHeight="false" outlineLevel="0" collapsed="false">
      <c r="A7" s="44" t="s">
        <v>50</v>
      </c>
      <c r="B7" s="45" t="n">
        <v>3.6207</v>
      </c>
      <c r="C7" s="35" t="n">
        <f aca="false">LN(1+B7)/$B$3</f>
        <v>0.0728831527984715</v>
      </c>
      <c r="D7" s="36" t="s">
        <v>51</v>
      </c>
      <c r="E7" s="46" t="s">
        <v>49</v>
      </c>
      <c r="F7" s="47"/>
    </row>
    <row r="8" customFormat="false" ht="15" hidden="false" customHeight="false" outlineLevel="0" collapsed="false">
      <c r="A8" s="48" t="s">
        <v>52</v>
      </c>
      <c r="B8" s="49" t="n">
        <f aca="false">4100/1245-1</f>
        <v>2.29317269076305</v>
      </c>
      <c r="C8" s="50" t="n">
        <f aca="false">LN(1+B8)/$B$3</f>
        <v>0.0567548306568377</v>
      </c>
      <c r="D8" s="51" t="s">
        <v>53</v>
      </c>
      <c r="E8" s="52" t="s">
        <v>54</v>
      </c>
      <c r="F8" s="53"/>
    </row>
    <row r="10" customFormat="false" ht="15" hidden="false" customHeight="false" outlineLevel="0" collapsed="false">
      <c r="A10" s="54" t="s">
        <v>55</v>
      </c>
      <c r="B10" s="55" t="n">
        <f aca="false">B6-B7</f>
        <v>0.9717</v>
      </c>
      <c r="C10" s="39" t="s">
        <v>56</v>
      </c>
    </row>
    <row r="12" customFormat="false" ht="15" hidden="false" customHeight="true" outlineLevel="0" collapsed="false">
      <c r="A12" s="38" t="s">
        <v>57</v>
      </c>
      <c r="B12" s="38"/>
      <c r="C12" s="38"/>
      <c r="D12" s="38"/>
      <c r="E12" s="38"/>
      <c r="F12" s="38"/>
    </row>
    <row r="13" customFormat="false" ht="15" hidden="false" customHeight="true" outlineLevel="0" collapsed="false">
      <c r="A13" s="38" t="s">
        <v>58</v>
      </c>
      <c r="B13" s="38"/>
      <c r="C13" s="38"/>
      <c r="D13" s="38"/>
      <c r="E13" s="38"/>
      <c r="F13" s="38"/>
    </row>
    <row r="14" customFormat="false" ht="15" hidden="false" customHeight="true" outlineLevel="0" collapsed="false">
      <c r="A14" s="38" t="s">
        <v>59</v>
      </c>
      <c r="B14" s="38"/>
      <c r="C14" s="38"/>
      <c r="D14" s="38"/>
      <c r="E14" s="38"/>
      <c r="F14" s="38"/>
    </row>
    <row r="15" customFormat="false" ht="15" hidden="false" customHeight="true" outlineLevel="0" collapsed="false">
      <c r="A15" s="38" t="s">
        <v>60</v>
      </c>
      <c r="B15" s="38"/>
      <c r="C15" s="38"/>
      <c r="D15" s="38"/>
      <c r="E15" s="38"/>
      <c r="F15" s="38"/>
    </row>
  </sheetData>
  <mergeCells count="6">
    <mergeCell ref="A1:F1"/>
    <mergeCell ref="A2:F2"/>
    <mergeCell ref="A12:F12"/>
    <mergeCell ref="A13:F13"/>
    <mergeCell ref="A14:F1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4"/>
  </cols>
  <sheetData>
    <row r="1" customFormat="false" ht="23.1" hidden="false" customHeight="false" outlineLevel="0" collapsed="false">
      <c r="A1" s="8" t="s">
        <v>61</v>
      </c>
      <c r="B1" s="8"/>
      <c r="C1" s="8"/>
      <c r="D1" s="8"/>
      <c r="E1" s="8"/>
    </row>
    <row r="2" customFormat="false" ht="14.15" hidden="false" customHeight="false" outlineLevel="0" collapsed="false">
      <c r="A2" s="9" t="s">
        <v>62</v>
      </c>
      <c r="B2" s="9"/>
      <c r="C2" s="9"/>
      <c r="D2" s="9"/>
      <c r="E2" s="9"/>
    </row>
    <row r="3" customFormat="false" ht="15" hidden="false" customHeight="false" outlineLevel="0" collapsed="false">
      <c r="A3" s="10" t="s">
        <v>63</v>
      </c>
      <c r="B3" s="56" t="n">
        <v>4100</v>
      </c>
    </row>
    <row r="5" customFormat="false" ht="27.75" hidden="false" customHeight="true" outlineLevel="0" collapsed="false">
      <c r="A5" s="12" t="s">
        <v>64</v>
      </c>
      <c r="B5" s="12" t="s">
        <v>65</v>
      </c>
      <c r="C5" s="12" t="s">
        <v>23</v>
      </c>
      <c r="D5" s="12" t="s">
        <v>66</v>
      </c>
      <c r="E5" s="12" t="s">
        <v>24</v>
      </c>
    </row>
    <row r="6" customFormat="false" ht="15" hidden="false" customHeight="false" outlineLevel="0" collapsed="false">
      <c r="A6" s="57" t="s">
        <v>67</v>
      </c>
      <c r="B6" s="32" t="n">
        <v>100</v>
      </c>
      <c r="C6" s="30" t="n">
        <v>36</v>
      </c>
      <c r="D6" s="35" t="n">
        <f aca="false">$B$3/B6-1</f>
        <v>40</v>
      </c>
      <c r="E6" s="35" t="n">
        <f aca="false">LN($B$3/B6)/C6</f>
        <v>0.103154779630675</v>
      </c>
    </row>
    <row r="7" customFormat="false" ht="15" hidden="false" customHeight="false" outlineLevel="0" collapsed="false">
      <c r="A7" s="57" t="s">
        <v>68</v>
      </c>
      <c r="B7" s="32" t="n">
        <v>998</v>
      </c>
      <c r="C7" s="30" t="n">
        <v>21</v>
      </c>
      <c r="D7" s="35" t="n">
        <f aca="false">$B$3/B7-1</f>
        <v>3.10821643286573</v>
      </c>
      <c r="E7" s="35" t="n">
        <f aca="false">LN($B$3/B7)/C7</f>
        <v>0.0672851893514731</v>
      </c>
    </row>
    <row r="8" customFormat="false" ht="15" hidden="false" customHeight="false" outlineLevel="0" collapsed="false">
      <c r="A8" s="58" t="s">
        <v>69</v>
      </c>
      <c r="B8" s="59" t="n">
        <v>6124</v>
      </c>
      <c r="C8" s="60" t="n">
        <v>18.6</v>
      </c>
      <c r="D8" s="50" t="n">
        <f aca="false">$B$3/B8-1</f>
        <v>-0.330502939255389</v>
      </c>
      <c r="E8" s="50" t="n">
        <f aca="false">LN($B$3/B8)/C8</f>
        <v>-0.0215714249508159</v>
      </c>
    </row>
    <row r="9" customFormat="false" ht="15" hidden="false" customHeight="false" outlineLevel="0" collapsed="false">
      <c r="A9" s="57" t="s">
        <v>70</v>
      </c>
      <c r="B9" s="32" t="n">
        <v>1665</v>
      </c>
      <c r="C9" s="30" t="n">
        <v>17.6</v>
      </c>
      <c r="D9" s="35" t="n">
        <f aca="false">$B$3/B9-1</f>
        <v>1.46246246246246</v>
      </c>
      <c r="E9" s="35" t="n">
        <f aca="false">LN($B$3/B9)/C9</f>
        <v>0.0512023778566963</v>
      </c>
    </row>
    <row r="10" customFormat="false" ht="15" hidden="false" customHeight="false" outlineLevel="0" collapsed="false">
      <c r="A10" s="58" t="s">
        <v>71</v>
      </c>
      <c r="B10" s="59" t="n">
        <v>5178</v>
      </c>
      <c r="C10" s="60" t="n">
        <v>10.9</v>
      </c>
      <c r="D10" s="50" t="n">
        <f aca="false">$B$3/B10-1</f>
        <v>-0.208188489764388</v>
      </c>
      <c r="E10" s="50" t="n">
        <f aca="false">LN($B$3/B10)/C10</f>
        <v>-0.0214157713412003</v>
      </c>
    </row>
    <row r="11" customFormat="false" ht="15" hidden="false" customHeight="false" outlineLevel="0" collapsed="false">
      <c r="A11" s="61" t="s">
        <v>72</v>
      </c>
      <c r="B11" s="16" t="n">
        <v>2690</v>
      </c>
      <c r="C11" s="14" t="n">
        <v>2.2</v>
      </c>
      <c r="D11" s="19" t="n">
        <f aca="false">$B$3/B11-1</f>
        <v>0.524163568773234</v>
      </c>
      <c r="E11" s="19" t="n">
        <f aca="false">LN($B$3/B11)/C11</f>
        <v>0.191566263680234</v>
      </c>
    </row>
    <row r="13" customFormat="false" ht="15" hidden="false" customHeight="true" outlineLevel="0" collapsed="false">
      <c r="A13" s="38" t="s">
        <v>73</v>
      </c>
      <c r="B13" s="38"/>
      <c r="C13" s="38"/>
      <c r="D13" s="38"/>
      <c r="E13" s="38"/>
    </row>
  </sheetData>
  <mergeCells count="3">
    <mergeCell ref="A1:E1"/>
    <mergeCell ref="A2:E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2026-05-30T11:42:13Z</dcterms:created>
  <dc:creator>openpyxl</dc:creator>
  <dc:description/>
  <dc:language>en-US</dc:language>
  <cp:lastModifiedBy/>
  <dcterms:modified xsi:type="dcterms:W3CDTF">2026-05-30T11:42:15Z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