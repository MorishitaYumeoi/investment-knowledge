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 tabRatio="500"/>
  </bookViews>
  <sheets>
    <sheet name="说明·必读" sheetId="1" r:id="rId1"/>
    <sheet name="中证800(年初)" sheetId="2" r:id="rId2"/>
    <sheet name="中证A500(年初)" sheetId="3" r:id="rId3"/>
    <sheet name="关键点位·全精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<sst xmlns="http://schemas.openxmlformats.org/spreadsheetml/2006/main" count="238" uniqueCount="106">
  <si>
    <r>
      <rPr>
        <b/>
        <sz val="15"/>
        <color rgb="FF1F3864"/>
        <rFont val="Arial"/>
        <charset val="1"/>
      </rPr>
      <t>A</t>
    </r>
    <r>
      <rPr>
        <b/>
        <sz val="15"/>
        <color rgb="FF1F3864"/>
        <rFont val="Noto Sans CJK SC"/>
        <charset val="134"/>
      </rPr>
      <t>股长河</t>
    </r>
    <r>
      <rPr>
        <b/>
        <sz val="15"/>
        <color rgb="FF1F3864"/>
        <rFont val="Arial"/>
        <charset val="1"/>
      </rPr>
      <t>·</t>
    </r>
    <r>
      <rPr>
        <b/>
        <sz val="15"/>
        <color rgb="FF1F3864"/>
        <rFont val="Noto Sans CJK SC"/>
        <charset val="134"/>
      </rPr>
      <t>拼接版</t>
    </r>
    <r>
      <rPr>
        <b/>
        <sz val="15"/>
        <color rgb="FF1F3864"/>
        <rFont val="Arial"/>
        <charset val="1"/>
      </rPr>
      <t>(</t>
    </r>
    <r>
      <rPr>
        <b/>
        <sz val="15"/>
        <color rgb="FF1F3864"/>
        <rFont val="Noto Sans CJK SC"/>
        <charset val="134"/>
      </rPr>
      <t>年初口径</t>
    </r>
    <r>
      <rPr>
        <b/>
        <sz val="15"/>
        <color rgb="FF1F3864"/>
        <rFont val="Arial"/>
        <charset val="1"/>
      </rPr>
      <t>)</t>
    </r>
    <r>
      <rPr>
        <b/>
        <sz val="15"/>
        <color rgb="FF1F3864"/>
        <rFont val="Noto Sans CJK SC"/>
        <charset val="134"/>
      </rPr>
      <t>：</t>
    </r>
    <r>
      <rPr>
        <b/>
        <sz val="15"/>
        <color rgb="FF1F3864"/>
        <rFont val="Arial"/>
        <charset val="1"/>
      </rPr>
      <t>1990–2005</t>
    </r>
    <r>
      <rPr>
        <b/>
        <sz val="15"/>
        <color rgb="FF1F3864"/>
        <rFont val="Noto Sans CJK SC"/>
        <charset val="134"/>
      </rPr>
      <t xml:space="preserve">上证 </t>
    </r>
    <r>
      <rPr>
        <b/>
        <sz val="15"/>
        <color rgb="FF1F3864"/>
        <rFont val="Arial"/>
        <charset val="1"/>
      </rPr>
      <t>+ 2005</t>
    </r>
    <r>
      <rPr>
        <b/>
        <sz val="15"/>
        <color rgb="FF1F3864"/>
        <rFont val="Noto Sans CJK SC"/>
        <charset val="134"/>
      </rPr>
      <t xml:space="preserve">至今 </t>
    </r>
    <r>
      <rPr>
        <b/>
        <sz val="15"/>
        <color rgb="FF1F3864"/>
        <rFont val="Arial"/>
        <charset val="1"/>
      </rPr>
      <t>A500/</t>
    </r>
    <r>
      <rPr>
        <b/>
        <sz val="15"/>
        <color rgb="FF1F3864"/>
        <rFont val="Noto Sans CJK SC"/>
        <charset val="134"/>
      </rPr>
      <t>中证</t>
    </r>
    <r>
      <rPr>
        <b/>
        <sz val="15"/>
        <color rgb="FF1F3864"/>
        <rFont val="Arial"/>
        <charset val="1"/>
      </rPr>
      <t>800</t>
    </r>
  </si>
  <si>
    <r>
      <rPr>
        <i/>
        <sz val="9"/>
        <color rgb="FF595959"/>
        <rFont val="Noto Sans CJK SC"/>
        <charset val="134"/>
      </rPr>
      <t>口径</t>
    </r>
    <r>
      <rPr>
        <i/>
        <sz val="9"/>
        <color rgb="FF595959"/>
        <rFont val="Arial"/>
        <charset val="1"/>
      </rPr>
      <t>=</t>
    </r>
    <r>
      <rPr>
        <i/>
        <sz val="9"/>
        <color rgb="FF595959"/>
        <rFont val="Noto Sans CJK SC"/>
        <charset val="134"/>
      </rPr>
      <t>每年【年初</t>
    </r>
    <r>
      <rPr>
        <i/>
        <sz val="9"/>
        <color rgb="FF595959"/>
        <rFont val="Arial"/>
        <charset val="1"/>
      </rPr>
      <t>(1</t>
    </r>
    <r>
      <rPr>
        <i/>
        <sz val="9"/>
        <color rgb="FF595959"/>
        <rFont val="Noto Sans CJK SC"/>
        <charset val="134"/>
      </rPr>
      <t>月</t>
    </r>
    <r>
      <rPr>
        <i/>
        <sz val="9"/>
        <color rgb="FF595959"/>
        <rFont val="Arial"/>
        <charset val="1"/>
      </rPr>
      <t>)</t>
    </r>
    <r>
      <rPr>
        <i/>
        <sz val="9"/>
        <color rgb="FF595959"/>
        <rFont val="Noto Sans CJK SC"/>
        <charset val="134"/>
      </rPr>
      <t xml:space="preserve">】；年化连续复利 </t>
    </r>
    <r>
      <rPr>
        <i/>
        <sz val="9"/>
        <color rgb="FF595959"/>
        <rFont val="Arial"/>
        <charset val="1"/>
      </rPr>
      <t>r=(1/n)·ln(S_T/S_0)</t>
    </r>
    <r>
      <rPr>
        <i/>
        <sz val="9"/>
        <color rgb="FF595959"/>
        <rFont val="Noto Sans CJK SC"/>
        <charset val="134"/>
      </rPr>
      <t>。数据来源</t>
    </r>
    <r>
      <rPr>
        <i/>
        <sz val="9"/>
        <color rgb="FF595959"/>
        <rFont val="Arial"/>
        <charset val="1"/>
      </rPr>
      <t>=</t>
    </r>
    <r>
      <rPr>
        <i/>
        <sz val="9"/>
        <color rgb="FF595959"/>
        <rFont val="Noto Sans CJK SC"/>
        <charset val="134"/>
      </rPr>
      <t>用户提供的月</t>
    </r>
    <r>
      <rPr>
        <i/>
        <sz val="9"/>
        <color rgb="FF595959"/>
        <rFont val="Arial"/>
        <charset val="1"/>
      </rPr>
      <t>K/</t>
    </r>
    <r>
      <rPr>
        <i/>
        <sz val="9"/>
        <color rgb="FF595959"/>
        <rFont val="Noto Sans CJK SC"/>
        <charset val="134"/>
      </rPr>
      <t>年</t>
    </r>
    <r>
      <rPr>
        <i/>
        <sz val="9"/>
        <color rgb="FF595959"/>
        <rFont val="Arial"/>
        <charset val="1"/>
      </rPr>
      <t>K</t>
    </r>
    <r>
      <rPr>
        <i/>
        <sz val="9"/>
        <color rgb="FF595959"/>
        <rFont val="Noto Sans CJK SC"/>
        <charset val="134"/>
      </rPr>
      <t>截图。</t>
    </r>
  </si>
  <si>
    <t>本次改动：年末 → 年初</t>
  </si>
  <si>
    <r>
      <rPr>
        <sz val="10"/>
        <color rgb="FF000000"/>
        <rFont val="Noto Sans CJK SC"/>
        <charset val="134"/>
      </rPr>
      <t>应你要求，现代段</t>
    </r>
    <r>
      <rPr>
        <sz val="10"/>
        <color rgb="FF000000"/>
        <rFont val="Arial"/>
        <charset val="1"/>
      </rPr>
      <t>(2005</t>
    </r>
    <r>
      <rPr>
        <sz val="10"/>
        <color rgb="FF000000"/>
        <rFont val="Noto Sans CJK SC"/>
        <charset val="134"/>
      </rPr>
      <t>起</t>
    </r>
    <r>
      <rPr>
        <sz val="10"/>
        <color rgb="FF000000"/>
        <rFont val="Arial"/>
        <charset val="1"/>
      </rPr>
      <t>)</t>
    </r>
    <r>
      <rPr>
        <sz val="10"/>
        <color rgb="FF000000"/>
        <rFont val="Noto Sans CJK SC"/>
        <charset val="134"/>
      </rPr>
      <t>的逐年取值已统一改为【每年</t>
    </r>
    <r>
      <rPr>
        <sz val="10"/>
        <color rgb="FF000000"/>
        <rFont val="Arial"/>
        <charset val="1"/>
      </rPr>
      <t>1</t>
    </r>
    <r>
      <rPr>
        <sz val="10"/>
        <color rgb="FF000000"/>
        <rFont val="Noto Sans CJK SC"/>
        <charset val="134"/>
      </rPr>
      <t>月</t>
    </r>
    <r>
      <rPr>
        <sz val="10"/>
        <color rgb="FF000000"/>
        <rFont val="Arial"/>
        <charset val="1"/>
      </rPr>
      <t>(</t>
    </r>
    <r>
      <rPr>
        <sz val="10"/>
        <color rgb="FF000000"/>
        <rFont val="Noto Sans CJK SC"/>
        <charset val="134"/>
      </rPr>
      <t>年初</t>
    </r>
    <r>
      <rPr>
        <sz val="10"/>
        <color rgb="FF000000"/>
        <rFont val="Arial"/>
        <charset val="1"/>
      </rPr>
      <t>)</t>
    </r>
    <r>
      <rPr>
        <sz val="10"/>
        <color rgb="FF000000"/>
        <rFont val="Noto Sans CJK SC"/>
        <charset val="134"/>
      </rPr>
      <t>】，小数年份也随之前移</t>
    </r>
    <r>
      <rPr>
        <sz val="10"/>
        <color rgb="FF000000"/>
        <rFont val="Arial"/>
        <charset val="1"/>
      </rPr>
      <t>(</t>
    </r>
    <r>
      <rPr>
        <sz val="10"/>
        <color rgb="FF000000"/>
        <rFont val="Noto Sans CJK SC"/>
        <charset val="134"/>
      </rPr>
      <t>如</t>
    </r>
    <r>
      <rPr>
        <sz val="10"/>
        <color rgb="FF000000"/>
        <rFont val="Arial"/>
        <charset val="1"/>
      </rPr>
      <t>A500</t>
    </r>
    <r>
      <rPr>
        <sz val="10"/>
        <color rgb="FF000000"/>
        <rFont val="Noto Sans CJK SC"/>
        <charset val="134"/>
      </rPr>
      <t>基期</t>
    </r>
    <r>
      <rPr>
        <sz val="10"/>
        <color rgb="FF000000"/>
        <rFont val="Arial"/>
        <charset val="1"/>
      </rPr>
      <t>=2005.00)</t>
    </r>
    <r>
      <rPr>
        <sz val="10"/>
        <color rgb="FF000000"/>
        <rFont val="Noto Sans CJK SC"/>
        <charset val="134"/>
      </rPr>
      <t>。上证早段同步改为年初口径，保持全表一致。距今年数</t>
    </r>
    <r>
      <rPr>
        <sz val="10"/>
        <color rgb="FF000000"/>
        <rFont val="Arial"/>
        <charset val="1"/>
      </rPr>
      <t>n</t>
    </r>
    <r>
      <rPr>
        <sz val="10"/>
        <color rgb="FF000000"/>
        <rFont val="Noto Sans CJK SC"/>
        <charset val="134"/>
      </rPr>
      <t>、年化</t>
    </r>
    <r>
      <rPr>
        <sz val="10"/>
        <color rgb="FF000000"/>
        <rFont val="Arial"/>
        <charset val="1"/>
      </rPr>
      <t xml:space="preserve">cc </t>
    </r>
    <r>
      <rPr>
        <sz val="10"/>
        <color rgb="FF000000"/>
        <rFont val="Noto Sans CJK SC"/>
        <charset val="134"/>
      </rPr>
      <t>已按新口径自动重算。</t>
    </r>
  </si>
  <si>
    <t>⚠ 数据精度分层（务必先读）</t>
  </si>
  <si>
    <r>
      <rPr>
        <sz val="10"/>
        <color rgb="FF000000"/>
        <rFont val="Noto Sans CJK SC"/>
        <charset val="134"/>
      </rPr>
      <t>现代段点位来自用户提供的【月</t>
    </r>
    <r>
      <rPr>
        <sz val="10"/>
        <color rgb="FF000000"/>
        <rFont val="Arial"/>
        <charset val="1"/>
      </rPr>
      <t>K</t>
    </r>
    <r>
      <rPr>
        <sz val="10"/>
        <color rgb="FF000000"/>
        <rFont val="Noto Sans CJK SC"/>
        <charset val="134"/>
      </rPr>
      <t>线截图】。图上明确标注数字的</t>
    </r>
    <r>
      <rPr>
        <sz val="10"/>
        <color rgb="FF000000"/>
        <rFont val="Arial"/>
        <charset val="1"/>
      </rPr>
      <t>(</t>
    </r>
    <r>
      <rPr>
        <sz val="10"/>
        <color rgb="FF000000"/>
        <rFont val="Noto Sans CJK SC"/>
        <charset val="134"/>
      </rPr>
      <t>各阶段高低点、当前值</t>
    </r>
    <r>
      <rPr>
        <sz val="10"/>
        <color rgb="FF000000"/>
        <rFont val="Arial"/>
        <charset val="1"/>
      </rPr>
      <t>)</t>
    </r>
    <r>
      <rPr>
        <sz val="10"/>
        <color rgb="FF000000"/>
        <rFont val="Noto Sans CJK SC"/>
        <charset val="134"/>
      </rPr>
      <t>为【精确】</t>
    </r>
    <r>
      <rPr>
        <sz val="10"/>
        <color rgb="FF000000"/>
        <rFont val="Arial"/>
        <charset val="1"/>
      </rPr>
      <t>(</t>
    </r>
    <r>
      <rPr>
        <sz val="10"/>
        <color rgb="FF000000"/>
        <rFont val="Noto Sans CJK SC"/>
        <charset val="134"/>
      </rPr>
      <t>绿底</t>
    </r>
    <r>
      <rPr>
        <sz val="10"/>
        <color rgb="FF000000"/>
        <rFont val="Arial"/>
        <charset val="1"/>
      </rPr>
      <t>)</t>
    </r>
    <r>
      <rPr>
        <sz val="10"/>
        <color rgb="FF000000"/>
        <rFont val="Noto Sans CJK SC"/>
        <charset val="134"/>
      </rPr>
      <t>；其余各年</t>
    </r>
    <r>
      <rPr>
        <sz val="10"/>
        <color rgb="FF000000"/>
        <rFont val="Arial"/>
        <charset val="1"/>
      </rPr>
      <t>1</t>
    </r>
    <r>
      <rPr>
        <sz val="10"/>
        <color rgb="FF000000"/>
        <rFont val="Noto Sans CJK SC"/>
        <charset val="134"/>
      </rPr>
      <t>月的收盘是【按图估读】</t>
    </r>
    <r>
      <rPr>
        <sz val="10"/>
        <color rgb="FF000000"/>
        <rFont val="Arial"/>
        <charset val="1"/>
      </rPr>
      <t>(</t>
    </r>
    <r>
      <rPr>
        <sz val="10"/>
        <color rgb="FF000000"/>
        <rFont val="Noto Sans CJK SC"/>
        <charset val="134"/>
      </rPr>
      <t>黄底</t>
    </r>
    <r>
      <rPr>
        <sz val="10"/>
        <color rgb="FF000000"/>
        <rFont val="Arial"/>
        <charset val="1"/>
      </rPr>
      <t>)</t>
    </r>
    <r>
      <rPr>
        <sz val="10"/>
        <color rgb="FF000000"/>
        <rFont val="Noto Sans CJK SC"/>
        <charset val="134"/>
      </rPr>
      <t>，误差可能达几百点，只反映大致水平，不能当精确历史数据。所有估读值均已标注。</t>
    </r>
  </si>
  <si>
    <t>精确锚点（图上标注）</t>
  </si>
  <si>
    <r>
      <rPr>
        <sz val="10"/>
        <color rgb="FF000000"/>
        <rFont val="Noto Sans CJK SC"/>
        <charset val="134"/>
      </rPr>
      <t>中证</t>
    </r>
    <r>
      <rPr>
        <sz val="10"/>
        <color rgb="FF000000"/>
        <rFont val="Arial"/>
        <charset val="1"/>
      </rPr>
      <t>800</t>
    </r>
    <r>
      <rPr>
        <sz val="10"/>
        <color rgb="FF000000"/>
        <rFont val="Noto Sans CJK SC"/>
        <charset val="134"/>
      </rPr>
      <t>：当前</t>
    </r>
    <r>
      <rPr>
        <sz val="10"/>
        <color rgb="FF000000"/>
        <rFont val="Arial"/>
        <charset val="1"/>
      </rPr>
      <t>5485.86</t>
    </r>
    <r>
      <rPr>
        <sz val="10"/>
        <color rgb="FF000000"/>
        <rFont val="Noto Sans CJK SC"/>
        <charset val="134"/>
      </rPr>
      <t>；</t>
    </r>
    <r>
      <rPr>
        <sz val="10"/>
        <color rgb="FF000000"/>
        <rFont val="Arial"/>
        <charset val="1"/>
      </rPr>
      <t>08</t>
    </r>
    <r>
      <rPr>
        <sz val="10"/>
        <color rgb="FF000000"/>
        <rFont val="Noto Sans CJK SC"/>
        <charset val="134"/>
      </rPr>
      <t>年最低约</t>
    </r>
    <r>
      <rPr>
        <sz val="10"/>
        <color rgb="FF000000"/>
        <rFont val="Arial"/>
        <charset val="1"/>
      </rPr>
      <t>1566.98</t>
    </r>
    <r>
      <rPr>
        <sz val="10"/>
        <color rgb="FF000000"/>
        <rFont val="Noto Sans CJK SC"/>
        <charset val="134"/>
      </rPr>
      <t>；区间高约</t>
    </r>
    <r>
      <rPr>
        <sz val="10"/>
        <color rgb="FF000000"/>
        <rFont val="Arial"/>
        <charset val="1"/>
      </rPr>
      <t>6452.70</t>
    </r>
    <r>
      <rPr>
        <sz val="10"/>
        <color rgb="FF000000"/>
        <rFont val="Noto Sans CJK SC"/>
        <charset val="134"/>
      </rPr>
      <t>。中证</t>
    </r>
    <r>
      <rPr>
        <sz val="10"/>
        <color rgb="FF000000"/>
        <rFont val="Arial"/>
        <charset val="1"/>
      </rPr>
      <t>A500</t>
    </r>
    <r>
      <rPr>
        <sz val="10"/>
        <color rgb="FF000000"/>
        <rFont val="Noto Sans CJK SC"/>
        <charset val="134"/>
      </rPr>
      <t>：当前</t>
    </r>
    <r>
      <rPr>
        <sz val="10"/>
        <color rgb="FF000000"/>
        <rFont val="Arial"/>
        <charset val="1"/>
      </rPr>
      <t>6100.14</t>
    </r>
    <r>
      <rPr>
        <sz val="10"/>
        <color rgb="FF000000"/>
        <rFont val="Noto Sans CJK SC"/>
        <charset val="134"/>
      </rPr>
      <t>；高</t>
    </r>
    <r>
      <rPr>
        <sz val="10"/>
        <color rgb="FF000000"/>
        <rFont val="Arial"/>
        <charset val="1"/>
      </rPr>
      <t>6712.15/6344.18/5566.26</t>
    </r>
    <r>
      <rPr>
        <sz val="10"/>
        <color rgb="FF000000"/>
        <rFont val="Noto Sans CJK SC"/>
        <charset val="134"/>
      </rPr>
      <t>；低</t>
    </r>
    <r>
      <rPr>
        <sz val="10"/>
        <color rgb="FF000000"/>
        <rFont val="Arial"/>
        <charset val="1"/>
      </rPr>
      <t>792.90(05</t>
    </r>
    <r>
      <rPr>
        <sz val="10"/>
        <color rgb="FF000000"/>
        <rFont val="Noto Sans CJK SC"/>
        <charset val="134"/>
      </rPr>
      <t>初</t>
    </r>
    <r>
      <rPr>
        <sz val="10"/>
        <color rgb="FF000000"/>
        <rFont val="Arial"/>
        <charset val="1"/>
      </rPr>
      <t>)/2181.48/3227.88/3573.37</t>
    </r>
    <r>
      <rPr>
        <sz val="10"/>
        <color rgb="FF000000"/>
        <rFont val="Noto Sans CJK SC"/>
        <charset val="134"/>
      </rPr>
      <t>。</t>
    </r>
  </si>
  <si>
    <r>
      <rPr>
        <b/>
        <sz val="11"/>
        <color rgb="FF1F3864"/>
        <rFont val="Noto Sans CJK SC"/>
        <charset val="134"/>
      </rPr>
      <t>⚠ 中证</t>
    </r>
    <r>
      <rPr>
        <b/>
        <sz val="11"/>
        <color rgb="FF1F3864"/>
        <rFont val="Arial"/>
        <charset val="1"/>
      </rPr>
      <t xml:space="preserve">A500 </t>
    </r>
    <r>
      <rPr>
        <b/>
        <sz val="11"/>
        <color rgb="FF1F3864"/>
        <rFont val="Noto Sans CJK SC"/>
        <charset val="134"/>
      </rPr>
      <t>的回测</t>
    </r>
  </si>
  <si>
    <r>
      <rPr>
        <sz val="10"/>
        <color rgb="FF000000"/>
        <rFont val="Arial"/>
        <charset val="1"/>
      </rPr>
      <t>A500</t>
    </r>
    <r>
      <rPr>
        <sz val="10"/>
        <color rgb="FF000000"/>
        <rFont val="Noto Sans CJK SC"/>
        <charset val="134"/>
      </rPr>
      <t>在</t>
    </r>
    <r>
      <rPr>
        <sz val="10"/>
        <color rgb="FF000000"/>
        <rFont val="Arial"/>
        <charset val="1"/>
      </rPr>
      <t>2024</t>
    </r>
    <r>
      <rPr>
        <sz val="10"/>
        <color rgb="FF000000"/>
        <rFont val="Noto Sans CJK SC"/>
        <charset val="134"/>
      </rPr>
      <t>年</t>
    </r>
    <r>
      <rPr>
        <sz val="10"/>
        <color rgb="FF000000"/>
        <rFont val="Arial"/>
        <charset val="1"/>
      </rPr>
      <t>9</t>
    </r>
    <r>
      <rPr>
        <sz val="10"/>
        <color rgb="FF000000"/>
        <rFont val="Noto Sans CJK SC"/>
        <charset val="134"/>
      </rPr>
      <t>月发布前</t>
    </r>
    <r>
      <rPr>
        <sz val="10"/>
        <color rgb="FF000000"/>
        <rFont val="Arial"/>
        <charset val="1"/>
      </rPr>
      <t>(</t>
    </r>
    <r>
      <rPr>
        <sz val="10"/>
        <color rgb="FF000000"/>
        <rFont val="Noto Sans CJK SC"/>
        <charset val="134"/>
      </rPr>
      <t>本册</t>
    </r>
    <r>
      <rPr>
        <sz val="10"/>
        <color rgb="FF000000"/>
        <rFont val="Arial"/>
        <charset val="1"/>
      </rPr>
      <t>2005–2024</t>
    </r>
    <r>
      <rPr>
        <sz val="10"/>
        <color rgb="FF000000"/>
        <rFont val="Noto Sans CJK SC"/>
        <charset val="134"/>
      </rPr>
      <t>行</t>
    </r>
    <r>
      <rPr>
        <sz val="10"/>
        <color rgb="FF000000"/>
        <rFont val="Arial"/>
        <charset val="1"/>
      </rPr>
      <t>)</t>
    </r>
    <r>
      <rPr>
        <sz val="10"/>
        <color rgb="FF000000"/>
        <rFont val="Noto Sans CJK SC"/>
        <charset val="134"/>
      </rPr>
      <t>全部是回测，紫底标注，带幸存者偏差，不代表当年真实可投资回报。</t>
    </r>
  </si>
  <si>
    <t>拼接说明</t>
  </si>
  <si>
    <r>
      <rPr>
        <sz val="10"/>
        <color rgb="FF000000"/>
        <rFont val="Arial"/>
        <charset val="1"/>
      </rPr>
      <t>1990–2005</t>
    </r>
    <r>
      <rPr>
        <sz val="10"/>
        <color rgb="FF000000"/>
        <rFont val="Noto Sans CJK SC"/>
        <charset val="134"/>
      </rPr>
      <t>是上证、</t>
    </r>
    <r>
      <rPr>
        <sz val="10"/>
        <color rgb="FF000000"/>
        <rFont val="Arial"/>
        <charset val="1"/>
      </rPr>
      <t>2005</t>
    </r>
    <r>
      <rPr>
        <sz val="10"/>
        <color rgb="FF000000"/>
        <rFont val="Noto Sans CJK SC"/>
        <charset val="134"/>
      </rPr>
      <t>起是</t>
    </r>
    <r>
      <rPr>
        <sz val="10"/>
        <color rgb="FF000000"/>
        <rFont val="Arial"/>
        <charset val="1"/>
      </rPr>
      <t>A500/</t>
    </r>
    <r>
      <rPr>
        <sz val="10"/>
        <color rgb="FF000000"/>
        <rFont val="Noto Sans CJK SC"/>
        <charset val="134"/>
      </rPr>
      <t>中证</t>
    </r>
    <r>
      <rPr>
        <sz val="10"/>
        <color rgb="FF000000"/>
        <rFont val="Arial"/>
        <charset val="1"/>
      </rPr>
      <t>800</t>
    </r>
    <r>
      <rPr>
        <sz val="10"/>
        <color rgb="FF000000"/>
        <rFont val="Noto Sans CJK SC"/>
        <charset val="134"/>
      </rPr>
      <t>，属不同指数，</t>
    </r>
    <r>
      <rPr>
        <sz val="10"/>
        <color rgb="FF000000"/>
        <rFont val="Arial"/>
        <charset val="1"/>
      </rPr>
      <t>2005</t>
    </r>
    <r>
      <rPr>
        <sz val="10"/>
        <color rgb="FF000000"/>
        <rFont val="Noto Sans CJK SC"/>
        <charset val="134"/>
      </rPr>
      <t>处价格曲线会跳变，不能简单连成一条线；但各年“到今天的年化</t>
    </r>
    <r>
      <rPr>
        <sz val="10"/>
        <color rgb="FF000000"/>
        <rFont val="Arial"/>
        <charset val="1"/>
      </rPr>
      <t>cc”</t>
    </r>
    <r>
      <rPr>
        <sz val="10"/>
        <color rgb="FF000000"/>
        <rFont val="Noto Sans CJK SC"/>
        <charset val="134"/>
      </rPr>
      <t>可比。</t>
    </r>
  </si>
  <si>
    <r>
      <rPr>
        <b/>
        <sz val="15"/>
        <color rgb="FF1F3864"/>
        <rFont val="Arial"/>
        <charset val="1"/>
      </rPr>
      <t>A</t>
    </r>
    <r>
      <rPr>
        <b/>
        <sz val="15"/>
        <color rgb="FF1F3864"/>
        <rFont val="Noto Sans CJK SC"/>
        <charset val="134"/>
      </rPr>
      <t>股长河</t>
    </r>
    <r>
      <rPr>
        <b/>
        <sz val="15"/>
        <color rgb="FF1F3864"/>
        <rFont val="Arial"/>
        <charset val="1"/>
      </rPr>
      <t>(</t>
    </r>
    <r>
      <rPr>
        <b/>
        <sz val="15"/>
        <color rgb="FF1F3864"/>
        <rFont val="Noto Sans CJK SC"/>
        <charset val="134"/>
      </rPr>
      <t>年初口径</t>
    </r>
    <r>
      <rPr>
        <b/>
        <sz val="15"/>
        <color rgb="FF1F3864"/>
        <rFont val="Arial"/>
        <charset val="1"/>
      </rPr>
      <t>)</t>
    </r>
    <r>
      <rPr>
        <b/>
        <sz val="15"/>
        <color rgb="FF1F3864"/>
        <rFont val="Noto Sans CJK SC"/>
        <charset val="134"/>
      </rPr>
      <t>：</t>
    </r>
    <r>
      <rPr>
        <b/>
        <sz val="15"/>
        <color rgb="FF1F3864"/>
        <rFont val="Arial"/>
        <charset val="1"/>
      </rPr>
      <t>1990–2005</t>
    </r>
    <r>
      <rPr>
        <b/>
        <sz val="15"/>
        <color rgb="FF1F3864"/>
        <rFont val="Noto Sans CJK SC"/>
        <charset val="134"/>
      </rPr>
      <t xml:space="preserve">上证 ＋ </t>
    </r>
    <r>
      <rPr>
        <b/>
        <sz val="15"/>
        <color rgb="FF1F3864"/>
        <rFont val="Arial"/>
        <charset val="1"/>
      </rPr>
      <t>2005</t>
    </r>
    <r>
      <rPr>
        <b/>
        <sz val="15"/>
        <color rgb="FF1F3864"/>
        <rFont val="Noto Sans CJK SC"/>
        <charset val="134"/>
      </rPr>
      <t>至今 中证</t>
    </r>
    <r>
      <rPr>
        <b/>
        <sz val="15"/>
        <color rgb="FF1F3864"/>
        <rFont val="Arial"/>
        <charset val="1"/>
      </rPr>
      <t>800</t>
    </r>
  </si>
  <si>
    <r>
      <rPr>
        <i/>
        <sz val="9"/>
        <color rgb="FF595959"/>
        <rFont val="Noto Sans CJK SC"/>
        <charset val="134"/>
      </rPr>
      <t>口径</t>
    </r>
    <r>
      <rPr>
        <i/>
        <sz val="9"/>
        <color rgb="FF595959"/>
        <rFont val="Arial"/>
        <charset val="1"/>
      </rPr>
      <t>=</t>
    </r>
    <r>
      <rPr>
        <i/>
        <sz val="9"/>
        <color rgb="FF595959"/>
        <rFont val="Noto Sans CJK SC"/>
        <charset val="134"/>
      </rPr>
      <t>每年</t>
    </r>
    <r>
      <rPr>
        <i/>
        <sz val="9"/>
        <color rgb="FF595959"/>
        <rFont val="Arial"/>
        <charset val="1"/>
      </rPr>
      <t>1</t>
    </r>
    <r>
      <rPr>
        <i/>
        <sz val="9"/>
        <color rgb="FF595959"/>
        <rFont val="Noto Sans CJK SC"/>
        <charset val="134"/>
      </rPr>
      <t>月。绿底</t>
    </r>
    <r>
      <rPr>
        <i/>
        <sz val="9"/>
        <color rgb="FF595959"/>
        <rFont val="Arial"/>
        <charset val="1"/>
      </rPr>
      <t>=</t>
    </r>
    <r>
      <rPr>
        <i/>
        <sz val="9"/>
        <color rgb="FF595959"/>
        <rFont val="Noto Sans CJK SC"/>
        <charset val="134"/>
      </rPr>
      <t>精确</t>
    </r>
    <r>
      <rPr>
        <i/>
        <sz val="9"/>
        <color rgb="FF595959"/>
        <rFont val="Arial"/>
        <charset val="1"/>
      </rPr>
      <t>(</t>
    </r>
    <r>
      <rPr>
        <i/>
        <sz val="9"/>
        <color rgb="FF595959"/>
        <rFont val="Noto Sans CJK SC"/>
        <charset val="134"/>
      </rPr>
      <t>图标注</t>
    </r>
    <r>
      <rPr>
        <i/>
        <sz val="9"/>
        <color rgb="FF595959"/>
        <rFont val="Arial"/>
        <charset val="1"/>
      </rPr>
      <t>/</t>
    </r>
    <r>
      <rPr>
        <i/>
        <sz val="9"/>
        <color rgb="FF595959"/>
        <rFont val="Noto Sans CJK SC"/>
        <charset val="134"/>
      </rPr>
      <t>真实</t>
    </r>
    <r>
      <rPr>
        <i/>
        <sz val="9"/>
        <color rgb="FF595959"/>
        <rFont val="Arial"/>
        <charset val="1"/>
      </rPr>
      <t>)</t>
    </r>
    <r>
      <rPr>
        <i/>
        <sz val="9"/>
        <color rgb="FF595959"/>
        <rFont val="Noto Sans CJK SC"/>
        <charset val="134"/>
      </rPr>
      <t>；黄底</t>
    </r>
    <r>
      <rPr>
        <i/>
        <sz val="9"/>
        <color rgb="FF595959"/>
        <rFont val="Arial"/>
        <charset val="1"/>
      </rPr>
      <t>=</t>
    </r>
    <r>
      <rPr>
        <i/>
        <sz val="9"/>
        <color rgb="FF595959"/>
        <rFont val="Noto Sans CJK SC"/>
        <charset val="134"/>
      </rPr>
      <t>按图估读</t>
    </r>
    <r>
      <rPr>
        <i/>
        <sz val="9"/>
        <color rgb="FF595959"/>
        <rFont val="Arial"/>
        <charset val="1"/>
      </rPr>
      <t>(</t>
    </r>
    <r>
      <rPr>
        <i/>
        <sz val="9"/>
        <color rgb="FF595959"/>
        <rFont val="Noto Sans CJK SC"/>
        <charset val="134"/>
      </rPr>
      <t>误差大</t>
    </r>
    <r>
      <rPr>
        <i/>
        <sz val="9"/>
        <color rgb="FF595959"/>
        <rFont val="Arial"/>
        <charset val="1"/>
      </rPr>
      <t>)</t>
    </r>
    <r>
      <rPr>
        <i/>
        <sz val="9"/>
        <color rgb="FF595959"/>
        <rFont val="Noto Sans CJK SC"/>
        <charset val="134"/>
      </rPr>
      <t>；紫底</t>
    </r>
    <r>
      <rPr>
        <i/>
        <sz val="9"/>
        <color rgb="FF595959"/>
        <rFont val="Arial"/>
        <charset val="1"/>
      </rPr>
      <t>=A500</t>
    </r>
    <r>
      <rPr>
        <i/>
        <sz val="9"/>
        <color rgb="FF595959"/>
        <rFont val="Noto Sans CJK SC"/>
        <charset val="134"/>
      </rPr>
      <t>回测。年化</t>
    </r>
    <r>
      <rPr>
        <i/>
        <sz val="9"/>
        <color rgb="FF595959"/>
        <rFont val="Arial"/>
        <charset val="1"/>
      </rPr>
      <t>cc=ln(</t>
    </r>
    <r>
      <rPr>
        <i/>
        <sz val="9"/>
        <color rgb="FF595959"/>
        <rFont val="Noto Sans CJK SC"/>
        <charset val="134"/>
      </rPr>
      <t>终点</t>
    </r>
    <r>
      <rPr>
        <i/>
        <sz val="9"/>
        <color rgb="FF595959"/>
        <rFont val="Arial"/>
        <charset val="1"/>
      </rPr>
      <t>/</t>
    </r>
    <r>
      <rPr>
        <i/>
        <sz val="9"/>
        <color rgb="FF595959"/>
        <rFont val="Noto Sans CJK SC"/>
        <charset val="134"/>
      </rPr>
      <t>起点</t>
    </r>
    <r>
      <rPr>
        <i/>
        <sz val="9"/>
        <color rgb="FF595959"/>
        <rFont val="Arial"/>
        <charset val="1"/>
      </rPr>
      <t>)/n</t>
    </r>
    <r>
      <rPr>
        <i/>
        <sz val="9"/>
        <color rgb="FF595959"/>
        <rFont val="Noto Sans CJK SC"/>
        <charset val="134"/>
      </rPr>
      <t>。</t>
    </r>
  </si>
  <si>
    <r>
      <rPr>
        <sz val="10"/>
        <color rgb="FF000000"/>
        <rFont val="Noto Sans CJK SC"/>
        <charset val="134"/>
      </rPr>
      <t>中证</t>
    </r>
    <r>
      <rPr>
        <sz val="10"/>
        <color rgb="FF000000"/>
        <rFont val="Arial"/>
        <charset val="1"/>
      </rPr>
      <t xml:space="preserve">800 </t>
    </r>
    <r>
      <rPr>
        <sz val="10"/>
        <color rgb="FF000000"/>
        <rFont val="Noto Sans CJK SC"/>
        <charset val="134"/>
      </rPr>
      <t>终点</t>
    </r>
    <r>
      <rPr>
        <sz val="10"/>
        <color rgb="FF000000"/>
        <rFont val="Arial"/>
        <charset val="1"/>
      </rPr>
      <t>(</t>
    </r>
    <r>
      <rPr>
        <sz val="10"/>
        <color rgb="FF000000"/>
        <rFont val="Noto Sans CJK SC"/>
        <charset val="134"/>
      </rPr>
      <t>现值</t>
    </r>
    <r>
      <rPr>
        <sz val="10"/>
        <color rgb="FF000000"/>
        <rFont val="Arial"/>
        <charset val="1"/>
      </rPr>
      <t>)</t>
    </r>
  </si>
  <si>
    <t>← 图上精确当前值</t>
  </si>
  <si>
    <r>
      <rPr>
        <sz val="10"/>
        <color rgb="FF000000"/>
        <rFont val="Noto Sans CJK SC"/>
        <charset val="134"/>
      </rPr>
      <t>上证段终点</t>
    </r>
    <r>
      <rPr>
        <sz val="10"/>
        <color rgb="FF000000"/>
        <rFont val="Arial"/>
        <charset val="1"/>
      </rPr>
      <t>(</t>
    </r>
    <r>
      <rPr>
        <sz val="10"/>
        <color rgb="FF000000"/>
        <rFont val="Noto Sans CJK SC"/>
        <charset val="134"/>
      </rPr>
      <t>早段年化参照</t>
    </r>
    <r>
      <rPr>
        <sz val="10"/>
        <color rgb="FF000000"/>
        <rFont val="Arial"/>
        <charset val="1"/>
      </rPr>
      <t>)</t>
    </r>
  </si>
  <si>
    <r>
      <rPr>
        <sz val="9"/>
        <color rgb="FF595959"/>
        <rFont val="Noto Sans CJK SC"/>
        <charset val="134"/>
      </rPr>
      <t>← 早段以上证现值约</t>
    </r>
    <r>
      <rPr>
        <sz val="9"/>
        <color rgb="FF595959"/>
        <rFont val="Arial"/>
        <charset val="1"/>
      </rPr>
      <t>4100</t>
    </r>
    <r>
      <rPr>
        <sz val="9"/>
        <color rgb="FF595959"/>
        <rFont val="Noto Sans CJK SC"/>
        <charset val="134"/>
      </rPr>
      <t>计</t>
    </r>
  </si>
  <si>
    <t>年份</t>
  </si>
  <si>
    <r>
      <rPr>
        <b/>
        <sz val="10"/>
        <color rgb="FFFFFFFF"/>
        <rFont val="Noto Sans CJK SC"/>
        <charset val="134"/>
      </rPr>
      <t>小数年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Noto Sans CJK SC"/>
        <charset val="134"/>
      </rPr>
      <t>年初</t>
    </r>
    <r>
      <rPr>
        <b/>
        <sz val="10"/>
        <color rgb="FFFFFFFF"/>
        <rFont val="Arial"/>
        <charset val="1"/>
      </rPr>
      <t>)</t>
    </r>
  </si>
  <si>
    <t>所用指数</t>
  </si>
  <si>
    <r>
      <rPr>
        <b/>
        <sz val="10"/>
        <color rgb="FFFFFFFF"/>
        <rFont val="Arial"/>
        <charset val="1"/>
      </rPr>
      <t>1</t>
    </r>
    <r>
      <rPr>
        <b/>
        <sz val="10"/>
        <color rgb="FFFFFFFF"/>
        <rFont val="Noto Sans CJK SC"/>
        <charset val="134"/>
      </rPr>
      <t>月收盘</t>
    </r>
  </si>
  <si>
    <r>
      <rPr>
        <b/>
        <sz val="10"/>
        <color rgb="FFFFFFFF"/>
        <rFont val="Noto Sans CJK SC"/>
        <charset val="134"/>
      </rPr>
      <t>距今</t>
    </r>
    <r>
      <rPr>
        <b/>
        <sz val="10"/>
        <color rgb="FFFFFFFF"/>
        <rFont val="Arial"/>
        <charset val="1"/>
      </rPr>
      <t>n</t>
    </r>
  </si>
  <si>
    <t>距今累计</t>
  </si>
  <si>
    <r>
      <rPr>
        <b/>
        <sz val="10"/>
        <color rgb="FFFFFFFF"/>
        <rFont val="Noto Sans CJK SC"/>
        <charset val="134"/>
      </rPr>
      <t>距今年化</t>
    </r>
    <r>
      <rPr>
        <b/>
        <sz val="10"/>
        <color rgb="FFFFFFFF"/>
        <rFont val="Arial"/>
        <charset val="1"/>
      </rPr>
      <t>cc</t>
    </r>
  </si>
  <si>
    <t>数据状态</t>
  </si>
  <si>
    <t>上证</t>
  </si>
  <si>
    <r>
      <rPr>
        <sz val="9"/>
        <color rgb="FF595959"/>
        <rFont val="Noto Sans CJK SC"/>
        <charset val="134"/>
      </rPr>
      <t>上证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真实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年初</t>
    </r>
  </si>
  <si>
    <r>
      <rPr>
        <b/>
        <sz val="10"/>
        <color rgb="FF000000"/>
        <rFont val="Noto Sans CJK SC"/>
        <charset val="134"/>
      </rPr>
      <t>中证</t>
    </r>
    <r>
      <rPr>
        <b/>
        <sz val="10"/>
        <color rgb="FF000000"/>
        <rFont val="Arial"/>
        <charset val="1"/>
      </rPr>
      <t>800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</si>
  <si>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·07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</si>
  <si>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·08</t>
    </r>
    <r>
      <rPr>
        <sz val="9"/>
        <color rgb="FF595959"/>
        <rFont val="Noto Sans CJK SC"/>
        <charset val="134"/>
      </rPr>
      <t>年初</t>
    </r>
    <r>
      <rPr>
        <sz val="9"/>
        <color rgb="FF595959"/>
        <rFont val="Arial"/>
        <charset val="1"/>
      </rPr>
      <t>(</t>
    </r>
    <r>
      <rPr>
        <sz val="9"/>
        <color rgb="FF595959"/>
        <rFont val="Noto Sans CJK SC"/>
        <charset val="134"/>
      </rPr>
      <t>随后冲</t>
    </r>
    <r>
      <rPr>
        <sz val="9"/>
        <color rgb="FF595959"/>
        <rFont val="Arial"/>
        <charset val="1"/>
      </rPr>
      <t>6452,</t>
    </r>
    <r>
      <rPr>
        <sz val="9"/>
        <color rgb="FF595959"/>
        <rFont val="Noto Sans CJK SC"/>
        <charset val="134"/>
      </rPr>
      <t>精确</t>
    </r>
    <r>
      <rPr>
        <sz val="9"/>
        <color rgb="FF595959"/>
        <rFont val="Arial"/>
        <charset val="1"/>
      </rPr>
      <t>)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</si>
  <si>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·09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</si>
  <si>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·10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</si>
  <si>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·11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</si>
  <si>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·12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</si>
  <si>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·13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</si>
  <si>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·14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</si>
  <si>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·15</t>
    </r>
    <r>
      <rPr>
        <sz val="9"/>
        <color rgb="FF595959"/>
        <rFont val="Noto Sans CJK SC"/>
        <charset val="134"/>
      </rPr>
      <t>年初</t>
    </r>
    <r>
      <rPr>
        <sz val="9"/>
        <color rgb="FF595959"/>
        <rFont val="Arial"/>
        <charset val="1"/>
      </rPr>
      <t>(</t>
    </r>
    <r>
      <rPr>
        <sz val="9"/>
        <color rgb="FF595959"/>
        <rFont val="Noto Sans CJK SC"/>
        <charset val="134"/>
      </rPr>
      <t>随后冲</t>
    </r>
    <r>
      <rPr>
        <sz val="9"/>
        <color rgb="FF595959"/>
        <rFont val="Arial"/>
        <charset val="1"/>
      </rPr>
      <t>6452,</t>
    </r>
    <r>
      <rPr>
        <sz val="9"/>
        <color rgb="FF595959"/>
        <rFont val="Noto Sans CJK SC"/>
        <charset val="134"/>
      </rPr>
      <t>精确</t>
    </r>
    <r>
      <rPr>
        <sz val="9"/>
        <color rgb="FF595959"/>
        <rFont val="Arial"/>
        <charset val="1"/>
      </rPr>
      <t>)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</si>
  <si>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·16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</si>
  <si>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·17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</si>
  <si>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·18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</si>
  <si>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·19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</si>
  <si>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·20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</si>
  <si>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·21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</si>
  <si>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·22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</si>
  <si>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·23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</si>
  <si>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·24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</si>
  <si>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·25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</si>
  <si>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·26</t>
    </r>
    <r>
      <rPr>
        <sz val="9"/>
        <color rgb="FF595959"/>
        <rFont val="Noto Sans CJK SC"/>
        <charset val="134"/>
      </rPr>
      <t>年初</t>
    </r>
  </si>
  <si>
    <t>现在</t>
  </si>
  <si>
    <t>-</t>
  </si>
  <si>
    <r>
      <rPr>
        <sz val="9"/>
        <color rgb="FF595959"/>
        <rFont val="Noto Sans CJK SC"/>
        <charset val="134"/>
      </rPr>
      <t>精确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当前值</t>
    </r>
    <r>
      <rPr>
        <sz val="9"/>
        <color rgb="FF595959"/>
        <rFont val="Arial"/>
        <charset val="1"/>
      </rPr>
      <t>(</t>
    </r>
    <r>
      <rPr>
        <sz val="9"/>
        <color rgb="FF595959"/>
        <rFont val="Noto Sans CJK SC"/>
        <charset val="134"/>
      </rPr>
      <t>图</t>
    </r>
    <r>
      <rPr>
        <sz val="9"/>
        <color rgb="FF595959"/>
        <rFont val="Arial"/>
        <charset val="1"/>
      </rPr>
      <t>1)</t>
    </r>
  </si>
  <si>
    <r>
      <rPr>
        <sz val="9"/>
        <color rgb="FF595959"/>
        <rFont val="Noto Sans CJK SC"/>
        <charset val="134"/>
      </rPr>
      <t>口径已统一为每年</t>
    </r>
    <r>
      <rPr>
        <sz val="9"/>
        <color rgb="FF595959"/>
        <rFont val="Arial"/>
        <charset val="1"/>
      </rPr>
      <t>1</t>
    </r>
    <r>
      <rPr>
        <sz val="9"/>
        <color rgb="FF595959"/>
        <rFont val="Noto Sans CJK SC"/>
        <charset val="134"/>
      </rPr>
      <t>月</t>
    </r>
    <r>
      <rPr>
        <sz val="9"/>
        <color rgb="FF595959"/>
        <rFont val="Arial"/>
        <charset val="1"/>
      </rPr>
      <t>(</t>
    </r>
    <r>
      <rPr>
        <sz val="9"/>
        <color rgb="FF595959"/>
        <rFont val="Noto Sans CJK SC"/>
        <charset val="134"/>
      </rPr>
      <t>年初</t>
    </r>
    <r>
      <rPr>
        <sz val="9"/>
        <color rgb="FF595959"/>
        <rFont val="Arial"/>
        <charset val="1"/>
      </rPr>
      <t>)</t>
    </r>
    <r>
      <rPr>
        <sz val="9"/>
        <color rgb="FF595959"/>
        <rFont val="Noto Sans CJK SC"/>
        <charset val="134"/>
      </rPr>
      <t>。注：现代段除标“精确”外均为图估读，趋势可信、点位有误差。</t>
    </r>
  </si>
  <si>
    <r>
      <rPr>
        <sz val="9"/>
        <color rgb="FF595959"/>
        <rFont val="Noto Sans CJK SC"/>
        <charset val="134"/>
      </rPr>
      <t>“距今年化</t>
    </r>
    <r>
      <rPr>
        <sz val="9"/>
        <color rgb="FF595959"/>
        <rFont val="Arial"/>
        <charset val="1"/>
      </rPr>
      <t>cc”</t>
    </r>
    <r>
      <rPr>
        <sz val="9"/>
        <color rgb="FF595959"/>
        <rFont val="Noto Sans CJK SC"/>
        <charset val="134"/>
      </rPr>
      <t>是核心可比量；估读误差会传导到它，请结合“数据状态”列判断。</t>
    </r>
  </si>
  <si>
    <r>
      <rPr>
        <b/>
        <sz val="15"/>
        <color rgb="FF1F3864"/>
        <rFont val="Arial"/>
        <charset val="1"/>
      </rPr>
      <t>A</t>
    </r>
    <r>
      <rPr>
        <b/>
        <sz val="15"/>
        <color rgb="FF1F3864"/>
        <rFont val="Noto Sans CJK SC"/>
        <charset val="134"/>
      </rPr>
      <t>股长河</t>
    </r>
    <r>
      <rPr>
        <b/>
        <sz val="15"/>
        <color rgb="FF1F3864"/>
        <rFont val="Arial"/>
        <charset val="1"/>
      </rPr>
      <t>(</t>
    </r>
    <r>
      <rPr>
        <b/>
        <sz val="15"/>
        <color rgb="FF1F3864"/>
        <rFont val="Noto Sans CJK SC"/>
        <charset val="134"/>
      </rPr>
      <t>年初口径</t>
    </r>
    <r>
      <rPr>
        <b/>
        <sz val="15"/>
        <color rgb="FF1F3864"/>
        <rFont val="Arial"/>
        <charset val="1"/>
      </rPr>
      <t>)</t>
    </r>
    <r>
      <rPr>
        <b/>
        <sz val="15"/>
        <color rgb="FF1F3864"/>
        <rFont val="Noto Sans CJK SC"/>
        <charset val="134"/>
      </rPr>
      <t>：</t>
    </r>
    <r>
      <rPr>
        <b/>
        <sz val="15"/>
        <color rgb="FF1F3864"/>
        <rFont val="Arial"/>
        <charset val="1"/>
      </rPr>
      <t>1990–2005</t>
    </r>
    <r>
      <rPr>
        <b/>
        <sz val="15"/>
        <color rgb="FF1F3864"/>
        <rFont val="Noto Sans CJK SC"/>
        <charset val="134"/>
      </rPr>
      <t xml:space="preserve">上证 ＋ </t>
    </r>
    <r>
      <rPr>
        <b/>
        <sz val="15"/>
        <color rgb="FF1F3864"/>
        <rFont val="Arial"/>
        <charset val="1"/>
      </rPr>
      <t>2005</t>
    </r>
    <r>
      <rPr>
        <b/>
        <sz val="15"/>
        <color rgb="FF1F3864"/>
        <rFont val="Noto Sans CJK SC"/>
        <charset val="134"/>
      </rPr>
      <t>至今 中证</t>
    </r>
    <r>
      <rPr>
        <b/>
        <sz val="15"/>
        <color rgb="FF1F3864"/>
        <rFont val="Arial"/>
        <charset val="1"/>
      </rPr>
      <t>A500</t>
    </r>
  </si>
  <si>
    <r>
      <rPr>
        <sz val="10"/>
        <color rgb="FF000000"/>
        <rFont val="Noto Sans CJK SC"/>
        <charset val="134"/>
      </rPr>
      <t>中证</t>
    </r>
    <r>
      <rPr>
        <sz val="10"/>
        <color rgb="FF000000"/>
        <rFont val="Arial"/>
        <charset val="1"/>
      </rPr>
      <t xml:space="preserve">A500 </t>
    </r>
    <r>
      <rPr>
        <sz val="10"/>
        <color rgb="FF000000"/>
        <rFont val="Noto Sans CJK SC"/>
        <charset val="134"/>
      </rPr>
      <t>终点</t>
    </r>
    <r>
      <rPr>
        <sz val="10"/>
        <color rgb="FF000000"/>
        <rFont val="Arial"/>
        <charset val="1"/>
      </rPr>
      <t>(</t>
    </r>
    <r>
      <rPr>
        <sz val="10"/>
        <color rgb="FF000000"/>
        <rFont val="Noto Sans CJK SC"/>
        <charset val="134"/>
      </rPr>
      <t>现值</t>
    </r>
    <r>
      <rPr>
        <sz val="10"/>
        <color rgb="FF000000"/>
        <rFont val="Arial"/>
        <charset val="1"/>
      </rPr>
      <t>)</t>
    </r>
  </si>
  <si>
    <r>
      <rPr>
        <b/>
        <sz val="10"/>
        <color rgb="FF000000"/>
        <rFont val="Noto Sans CJK SC"/>
        <charset val="134"/>
      </rPr>
      <t>中证</t>
    </r>
    <r>
      <rPr>
        <b/>
        <sz val="10"/>
        <color rgb="FF000000"/>
        <rFont val="Arial"/>
        <charset val="1"/>
      </rPr>
      <t>A500</t>
    </r>
  </si>
  <si>
    <r>
      <rPr>
        <sz val="9"/>
        <color rgb="FF595959"/>
        <rFont val="Noto Sans CJK SC"/>
        <charset val="134"/>
      </rPr>
      <t>精确</t>
    </r>
    <r>
      <rPr>
        <sz val="9"/>
        <color rgb="FF595959"/>
        <rFont val="Arial"/>
        <charset val="1"/>
      </rPr>
      <t>·05</t>
    </r>
    <r>
      <rPr>
        <sz val="9"/>
        <color rgb="FF595959"/>
        <rFont val="Noto Sans CJK SC"/>
        <charset val="134"/>
      </rPr>
      <t>初基期</t>
    </r>
    <r>
      <rPr>
        <sz val="9"/>
        <color rgb="FF595959"/>
        <rFont val="Arial"/>
        <charset val="1"/>
      </rPr>
      <t>792.90(</t>
    </r>
    <r>
      <rPr>
        <sz val="9"/>
        <color rgb="FF595959"/>
        <rFont val="Noto Sans CJK SC"/>
        <charset val="134"/>
      </rPr>
      <t>图</t>
    </r>
    <r>
      <rPr>
        <sz val="9"/>
        <color rgb="FF595959"/>
        <rFont val="Arial"/>
        <charset val="1"/>
      </rPr>
      <t>2)</t>
    </r>
  </si>
  <si>
    <r>
      <rPr>
        <sz val="9"/>
        <color rgb="FF595959"/>
        <rFont val="Noto Sans CJK SC"/>
        <charset val="134"/>
      </rPr>
      <t>回测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·06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</si>
  <si>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回测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·07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</si>
  <si>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回测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·08</t>
    </r>
    <r>
      <rPr>
        <sz val="9"/>
        <color rgb="FF595959"/>
        <rFont val="Noto Sans CJK SC"/>
        <charset val="134"/>
      </rPr>
      <t>年初</t>
    </r>
    <r>
      <rPr>
        <sz val="9"/>
        <color rgb="FF595959"/>
        <rFont val="Arial"/>
        <charset val="1"/>
      </rPr>
      <t>(</t>
    </r>
    <r>
      <rPr>
        <sz val="9"/>
        <color rgb="FF595959"/>
        <rFont val="Noto Sans CJK SC"/>
        <charset val="134"/>
      </rPr>
      <t>随后冲</t>
    </r>
    <r>
      <rPr>
        <sz val="9"/>
        <color rgb="FF595959"/>
        <rFont val="Arial"/>
        <charset val="1"/>
      </rPr>
      <t>5566,</t>
    </r>
    <r>
      <rPr>
        <sz val="9"/>
        <color rgb="FF595959"/>
        <rFont val="Noto Sans CJK SC"/>
        <charset val="134"/>
      </rPr>
      <t>精确</t>
    </r>
    <r>
      <rPr>
        <sz val="9"/>
        <color rgb="FF595959"/>
        <rFont val="Arial"/>
        <charset val="1"/>
      </rPr>
      <t>)</t>
    </r>
  </si>
  <si>
    <r>
      <rPr>
        <sz val="9"/>
        <color rgb="FF595959"/>
        <rFont val="Noto Sans CJK SC"/>
        <charset val="134"/>
      </rPr>
      <t>回测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·09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</si>
  <si>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回测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·10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</si>
  <si>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回测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·11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</si>
  <si>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回测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·12</t>
    </r>
    <r>
      <rPr>
        <sz val="9"/>
        <color rgb="FF595959"/>
        <rFont val="Noto Sans CJK SC"/>
        <charset val="134"/>
      </rPr>
      <t>年初</t>
    </r>
    <r>
      <rPr>
        <sz val="9"/>
        <color rgb="FF595959"/>
        <rFont val="Arial"/>
        <charset val="1"/>
      </rPr>
      <t>(</t>
    </r>
    <r>
      <rPr>
        <sz val="9"/>
        <color rgb="FF595959"/>
        <rFont val="Noto Sans CJK SC"/>
        <charset val="134"/>
      </rPr>
      <t>随后低</t>
    </r>
    <r>
      <rPr>
        <sz val="9"/>
        <color rgb="FF595959"/>
        <rFont val="Arial"/>
        <charset val="1"/>
      </rPr>
      <t>2181,</t>
    </r>
    <r>
      <rPr>
        <sz val="9"/>
        <color rgb="FF595959"/>
        <rFont val="Noto Sans CJK SC"/>
        <charset val="134"/>
      </rPr>
      <t>精确</t>
    </r>
    <r>
      <rPr>
        <sz val="9"/>
        <color rgb="FF595959"/>
        <rFont val="Arial"/>
        <charset val="1"/>
      </rPr>
      <t>)</t>
    </r>
  </si>
  <si>
    <r>
      <rPr>
        <sz val="9"/>
        <color rgb="FF595959"/>
        <rFont val="Noto Sans CJK SC"/>
        <charset val="134"/>
      </rPr>
      <t>回测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·13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</si>
  <si>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回测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·14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</si>
  <si>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回测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·15</t>
    </r>
    <r>
      <rPr>
        <sz val="9"/>
        <color rgb="FF595959"/>
        <rFont val="Noto Sans CJK SC"/>
        <charset val="134"/>
      </rPr>
      <t>年初</t>
    </r>
    <r>
      <rPr>
        <sz val="9"/>
        <color rgb="FF595959"/>
        <rFont val="Arial"/>
        <charset val="1"/>
      </rPr>
      <t>(</t>
    </r>
    <r>
      <rPr>
        <sz val="9"/>
        <color rgb="FF595959"/>
        <rFont val="Noto Sans CJK SC"/>
        <charset val="134"/>
      </rPr>
      <t>随后冲</t>
    </r>
    <r>
      <rPr>
        <sz val="9"/>
        <color rgb="FF595959"/>
        <rFont val="Arial"/>
        <charset val="1"/>
      </rPr>
      <t>6344,</t>
    </r>
    <r>
      <rPr>
        <sz val="9"/>
        <color rgb="FF595959"/>
        <rFont val="Noto Sans CJK SC"/>
        <charset val="134"/>
      </rPr>
      <t>精确</t>
    </r>
    <r>
      <rPr>
        <sz val="9"/>
        <color rgb="FF595959"/>
        <rFont val="Arial"/>
        <charset val="1"/>
      </rPr>
      <t>)</t>
    </r>
  </si>
  <si>
    <r>
      <rPr>
        <sz val="9"/>
        <color rgb="FF595959"/>
        <rFont val="Noto Sans CJK SC"/>
        <charset val="134"/>
      </rPr>
      <t>回测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·16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</si>
  <si>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回测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·17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</si>
  <si>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回测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·18</t>
    </r>
    <r>
      <rPr>
        <sz val="9"/>
        <color rgb="FF595959"/>
        <rFont val="Noto Sans CJK SC"/>
        <charset val="134"/>
      </rPr>
      <t>年初</t>
    </r>
    <r>
      <rPr>
        <sz val="9"/>
        <color rgb="FF595959"/>
        <rFont val="Arial"/>
        <charset val="1"/>
      </rPr>
      <t>(</t>
    </r>
    <r>
      <rPr>
        <sz val="9"/>
        <color rgb="FF595959"/>
        <rFont val="Noto Sans CJK SC"/>
        <charset val="134"/>
      </rPr>
      <t>年末低</t>
    </r>
    <r>
      <rPr>
        <sz val="9"/>
        <color rgb="FF595959"/>
        <rFont val="Arial"/>
        <charset val="1"/>
      </rPr>
      <t>3228,</t>
    </r>
    <r>
      <rPr>
        <sz val="9"/>
        <color rgb="FF595959"/>
        <rFont val="Noto Sans CJK SC"/>
        <charset val="134"/>
      </rPr>
      <t>精确</t>
    </r>
    <r>
      <rPr>
        <sz val="9"/>
        <color rgb="FF595959"/>
        <rFont val="Arial"/>
        <charset val="1"/>
      </rPr>
      <t>)</t>
    </r>
  </si>
  <si>
    <r>
      <rPr>
        <sz val="9"/>
        <color rgb="FF595959"/>
        <rFont val="Noto Sans CJK SC"/>
        <charset val="134"/>
      </rPr>
      <t>回测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·19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</si>
  <si>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回测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·20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</si>
  <si>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回测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·21</t>
    </r>
    <r>
      <rPr>
        <sz val="9"/>
        <color rgb="FF595959"/>
        <rFont val="Noto Sans CJK SC"/>
        <charset val="134"/>
      </rPr>
      <t>年初</t>
    </r>
    <r>
      <rPr>
        <sz val="9"/>
        <color rgb="FF595959"/>
        <rFont val="Arial"/>
        <charset val="1"/>
      </rPr>
      <t>(</t>
    </r>
    <r>
      <rPr>
        <sz val="9"/>
        <color rgb="FF595959"/>
        <rFont val="Noto Sans CJK SC"/>
        <charset val="134"/>
      </rPr>
      <t>随后高</t>
    </r>
    <r>
      <rPr>
        <sz val="9"/>
        <color rgb="FF595959"/>
        <rFont val="Arial"/>
        <charset val="1"/>
      </rPr>
      <t>6712,</t>
    </r>
    <r>
      <rPr>
        <sz val="9"/>
        <color rgb="FF595959"/>
        <rFont val="Noto Sans CJK SC"/>
        <charset val="134"/>
      </rPr>
      <t>精确</t>
    </r>
    <r>
      <rPr>
        <sz val="9"/>
        <color rgb="FF595959"/>
        <rFont val="Arial"/>
        <charset val="1"/>
      </rPr>
      <t>)</t>
    </r>
  </si>
  <si>
    <r>
      <rPr>
        <sz val="9"/>
        <color rgb="FF595959"/>
        <rFont val="Noto Sans CJK SC"/>
        <charset val="134"/>
      </rPr>
      <t>回测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·22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</si>
  <si>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回测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·23</t>
    </r>
    <r>
      <rPr>
        <sz val="9"/>
        <color rgb="FF595959"/>
        <rFont val="Noto Sans CJK SC"/>
        <charset val="134"/>
      </rPr>
      <t>年初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</si>
  <si>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·24</t>
    </r>
    <r>
      <rPr>
        <sz val="9"/>
        <color rgb="FF595959"/>
        <rFont val="Noto Sans CJK SC"/>
        <charset val="134"/>
      </rPr>
      <t>年初</t>
    </r>
    <r>
      <rPr>
        <sz val="9"/>
        <color rgb="FF595959"/>
        <rFont val="Arial"/>
        <charset val="1"/>
      </rPr>
      <t>(9</t>
    </r>
    <r>
      <rPr>
        <sz val="9"/>
        <color rgb="FF595959"/>
        <rFont val="Noto Sans CJK SC"/>
        <charset val="134"/>
      </rPr>
      <t>月发布起转真实</t>
    </r>
    <r>
      <rPr>
        <sz val="9"/>
        <color rgb="FF595959"/>
        <rFont val="Arial"/>
        <charset val="1"/>
      </rPr>
      <t>,</t>
    </r>
    <r>
      <rPr>
        <sz val="9"/>
        <color rgb="FF595959"/>
        <rFont val="Noto Sans CJK SC"/>
        <charset val="134"/>
      </rPr>
      <t>近低</t>
    </r>
    <r>
      <rPr>
        <sz val="9"/>
        <color rgb="FF595959"/>
        <rFont val="Arial"/>
        <charset val="1"/>
      </rPr>
      <t>3573</t>
    </r>
    <r>
      <rPr>
        <sz val="9"/>
        <color rgb="FF595959"/>
        <rFont val="Noto Sans CJK SC"/>
        <charset val="134"/>
      </rPr>
      <t>精确</t>
    </r>
    <r>
      <rPr>
        <sz val="9"/>
        <color rgb="FF595959"/>
        <rFont val="Arial"/>
        <charset val="1"/>
      </rPr>
      <t>)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</si>
  <si>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·25</t>
    </r>
    <r>
      <rPr>
        <sz val="9"/>
        <color rgb="FF595959"/>
        <rFont val="Noto Sans CJK SC"/>
        <charset val="134"/>
      </rPr>
      <t>年初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真实段</t>
    </r>
  </si>
  <si>
    <r>
      <rPr>
        <sz val="9"/>
        <color rgb="FF595959"/>
        <rFont val="Noto Sans CJK SC"/>
        <charset val="134"/>
      </rPr>
      <t>估读</t>
    </r>
    <r>
      <rPr>
        <sz val="9"/>
        <color rgb="FF595959"/>
        <rFont val="Arial"/>
        <charset val="1"/>
      </rPr>
      <t>·26</t>
    </r>
    <r>
      <rPr>
        <sz val="9"/>
        <color rgb="FF595959"/>
        <rFont val="Noto Sans CJK SC"/>
        <charset val="134"/>
      </rPr>
      <t>年初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真实段</t>
    </r>
  </si>
  <si>
    <r>
      <rPr>
        <sz val="9"/>
        <color rgb="FF595959"/>
        <rFont val="Noto Sans CJK SC"/>
        <charset val="134"/>
      </rPr>
      <t>精确</t>
    </r>
    <r>
      <rPr>
        <sz val="9"/>
        <color rgb="FF595959"/>
        <rFont val="Arial"/>
        <charset val="1"/>
      </rPr>
      <t>·</t>
    </r>
    <r>
      <rPr>
        <sz val="9"/>
        <color rgb="FF595959"/>
        <rFont val="Noto Sans CJK SC"/>
        <charset val="134"/>
      </rPr>
      <t>当前值</t>
    </r>
    <r>
      <rPr>
        <sz val="9"/>
        <color rgb="FF595959"/>
        <rFont val="Arial"/>
        <charset val="1"/>
      </rPr>
      <t>(</t>
    </r>
    <r>
      <rPr>
        <sz val="9"/>
        <color rgb="FF595959"/>
        <rFont val="Noto Sans CJK SC"/>
        <charset val="134"/>
      </rPr>
      <t>图</t>
    </r>
    <r>
      <rPr>
        <sz val="9"/>
        <color rgb="FF595959"/>
        <rFont val="Arial"/>
        <charset val="1"/>
      </rPr>
      <t>2-5)</t>
    </r>
  </si>
  <si>
    <r>
      <rPr>
        <b/>
        <sz val="10"/>
        <color rgb="FF9C2D2D"/>
        <rFont val="Arial"/>
        <charset val="1"/>
      </rPr>
      <t>★A500</t>
    </r>
    <r>
      <rPr>
        <b/>
        <sz val="10"/>
        <color rgb="FF9C2D2D"/>
        <rFont val="Noto Sans CJK SC"/>
        <charset val="134"/>
      </rPr>
      <t>：</t>
    </r>
    <r>
      <rPr>
        <b/>
        <sz val="10"/>
        <color rgb="FF9C2D2D"/>
        <rFont val="Arial"/>
        <charset val="1"/>
      </rPr>
      <t>2005–2024</t>
    </r>
    <r>
      <rPr>
        <b/>
        <sz val="10"/>
        <color rgb="FF9C2D2D"/>
        <rFont val="Noto Sans CJK SC"/>
        <charset val="134"/>
      </rPr>
      <t>为回测</t>
    </r>
    <r>
      <rPr>
        <b/>
        <sz val="10"/>
        <color rgb="FF9C2D2D"/>
        <rFont val="Arial"/>
        <charset val="1"/>
      </rPr>
      <t>(</t>
    </r>
    <r>
      <rPr>
        <b/>
        <sz val="10"/>
        <color rgb="FF9C2D2D"/>
        <rFont val="Noto Sans CJK SC"/>
        <charset val="134"/>
      </rPr>
      <t>紫底</t>
    </r>
    <r>
      <rPr>
        <b/>
        <sz val="10"/>
        <color rgb="FF9C2D2D"/>
        <rFont val="Arial"/>
        <charset val="1"/>
      </rPr>
      <t>)</t>
    </r>
    <r>
      <rPr>
        <b/>
        <sz val="10"/>
        <color rgb="FF9C2D2D"/>
        <rFont val="Noto Sans CJK SC"/>
        <charset val="134"/>
      </rPr>
      <t>，不代表当年真实可投资回报。</t>
    </r>
  </si>
  <si>
    <r>
      <rPr>
        <b/>
        <sz val="15"/>
        <color rgb="FF1F3864"/>
        <rFont val="Noto Sans CJK SC"/>
        <charset val="134"/>
      </rPr>
      <t>关键点位（全部来自图上标注</t>
    </r>
    <r>
      <rPr>
        <b/>
        <sz val="15"/>
        <color rgb="FF1F3864"/>
        <rFont val="Arial"/>
        <charset val="1"/>
      </rPr>
      <t>·</t>
    </r>
    <r>
      <rPr>
        <b/>
        <sz val="15"/>
        <color rgb="FF1F3864"/>
        <rFont val="Noto Sans CJK SC"/>
        <charset val="134"/>
      </rPr>
      <t>精确，不受年初</t>
    </r>
    <r>
      <rPr>
        <b/>
        <sz val="15"/>
        <color rgb="FF1F3864"/>
        <rFont val="Arial"/>
        <charset val="1"/>
      </rPr>
      <t>/</t>
    </r>
    <r>
      <rPr>
        <b/>
        <sz val="15"/>
        <color rgb="FF1F3864"/>
        <rFont val="Noto Sans CJK SC"/>
        <charset val="134"/>
      </rPr>
      <t>年末口径影响）</t>
    </r>
  </si>
  <si>
    <r>
      <rPr>
        <i/>
        <sz val="9"/>
        <color rgb="FF595959"/>
        <rFont val="Noto Sans CJK SC"/>
        <charset val="134"/>
      </rPr>
      <t>这些是图上明确标注的精确值</t>
    </r>
    <r>
      <rPr>
        <i/>
        <sz val="9"/>
        <color rgb="FF595959"/>
        <rFont val="Arial"/>
        <charset val="1"/>
      </rPr>
      <t>(</t>
    </r>
    <r>
      <rPr>
        <i/>
        <sz val="9"/>
        <color rgb="FF595959"/>
        <rFont val="Noto Sans CJK SC"/>
        <charset val="134"/>
      </rPr>
      <t>非估读</t>
    </r>
    <r>
      <rPr>
        <i/>
        <sz val="9"/>
        <color rgb="FF595959"/>
        <rFont val="Arial"/>
        <charset val="1"/>
      </rPr>
      <t>)</t>
    </r>
    <r>
      <rPr>
        <i/>
        <sz val="9"/>
        <color rgb="FF595959"/>
        <rFont val="Noto Sans CJK SC"/>
        <charset val="134"/>
      </rPr>
      <t>，最可信。终点用各指数当前值。</t>
    </r>
  </si>
  <si>
    <r>
      <rPr>
        <b/>
        <sz val="10"/>
        <color rgb="FFFFFFFF"/>
        <rFont val="Noto Sans CJK SC"/>
        <charset val="134"/>
      </rPr>
      <t>指数</t>
    </r>
    <r>
      <rPr>
        <b/>
        <sz val="10"/>
        <color rgb="FFFFFFFF"/>
        <rFont val="Arial"/>
        <charset val="1"/>
      </rPr>
      <t>·</t>
    </r>
    <r>
      <rPr>
        <b/>
        <sz val="10"/>
        <color rgb="FFFFFFFF"/>
        <rFont val="Noto Sans CJK SC"/>
        <charset val="134"/>
      </rPr>
      <t>关键点位</t>
    </r>
  </si>
  <si>
    <r>
      <rPr>
        <b/>
        <sz val="10"/>
        <color rgb="FFFFFFFF"/>
        <rFont val="Noto Sans CJK SC"/>
        <charset val="134"/>
      </rPr>
      <t>日期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Noto Sans CJK SC"/>
        <charset val="134"/>
      </rPr>
      <t>约</t>
    </r>
    <r>
      <rPr>
        <b/>
        <sz val="10"/>
        <color rgb="FFFFFFFF"/>
        <rFont val="Arial"/>
        <charset val="1"/>
      </rPr>
      <t>)</t>
    </r>
  </si>
  <si>
    <t>点位</t>
  </si>
  <si>
    <t>来源图</t>
  </si>
  <si>
    <r>
      <rPr>
        <sz val="10"/>
        <color rgb="FF000000"/>
        <rFont val="Noto Sans CJK SC"/>
        <charset val="134"/>
      </rPr>
      <t>中证</t>
    </r>
    <r>
      <rPr>
        <sz val="10"/>
        <color rgb="FF000000"/>
        <rFont val="Arial"/>
        <charset val="1"/>
      </rPr>
      <t>800·08</t>
    </r>
    <r>
      <rPr>
        <sz val="10"/>
        <color rgb="FF000000"/>
        <rFont val="Noto Sans CJK SC"/>
        <charset val="134"/>
      </rPr>
      <t>年低</t>
    </r>
  </si>
  <si>
    <r>
      <rPr>
        <sz val="9"/>
        <color rgb="FF595959"/>
        <rFont val="Noto Sans CJK SC"/>
        <charset val="134"/>
      </rPr>
      <t>图</t>
    </r>
    <r>
      <rPr>
        <sz val="9"/>
        <color rgb="FF595959"/>
        <rFont val="Arial"/>
        <charset val="1"/>
      </rPr>
      <t>1</t>
    </r>
  </si>
  <si>
    <r>
      <rPr>
        <b/>
        <sz val="10"/>
        <color rgb="FF000000"/>
        <rFont val="Noto Sans CJK SC"/>
        <charset val="134"/>
      </rPr>
      <t>中证</t>
    </r>
    <r>
      <rPr>
        <b/>
        <sz val="10"/>
        <color rgb="FF000000"/>
        <rFont val="Arial"/>
        <charset val="1"/>
      </rPr>
      <t>800·</t>
    </r>
    <r>
      <rPr>
        <b/>
        <sz val="10"/>
        <color rgb="FF000000"/>
        <rFont val="Noto Sans CJK SC"/>
        <charset val="134"/>
      </rPr>
      <t>区间高</t>
    </r>
  </si>
  <si>
    <r>
      <rPr>
        <sz val="10"/>
        <color rgb="FF000000"/>
        <rFont val="Noto Sans CJK SC"/>
        <charset val="134"/>
      </rPr>
      <t>中证</t>
    </r>
    <r>
      <rPr>
        <sz val="10"/>
        <color rgb="FF000000"/>
        <rFont val="Arial"/>
        <charset val="1"/>
      </rPr>
      <t>800·</t>
    </r>
    <r>
      <rPr>
        <sz val="10"/>
        <color rgb="FF000000"/>
        <rFont val="Noto Sans CJK SC"/>
        <charset val="134"/>
      </rPr>
      <t>当前</t>
    </r>
  </si>
  <si>
    <r>
      <rPr>
        <sz val="10"/>
        <color rgb="FF000000"/>
        <rFont val="Noto Sans CJK SC"/>
        <charset val="134"/>
      </rPr>
      <t>中证</t>
    </r>
    <r>
      <rPr>
        <sz val="10"/>
        <color rgb="FF000000"/>
        <rFont val="Arial"/>
        <charset val="1"/>
      </rPr>
      <t>A500·05</t>
    </r>
    <r>
      <rPr>
        <sz val="10"/>
        <color rgb="FF000000"/>
        <rFont val="Noto Sans CJK SC"/>
        <charset val="134"/>
      </rPr>
      <t>初基期</t>
    </r>
  </si>
  <si>
    <r>
      <rPr>
        <sz val="9"/>
        <color rgb="FF595959"/>
        <rFont val="Noto Sans CJK SC"/>
        <charset val="134"/>
      </rPr>
      <t>图</t>
    </r>
    <r>
      <rPr>
        <sz val="9"/>
        <color rgb="FF595959"/>
        <rFont val="Arial"/>
        <charset val="1"/>
      </rPr>
      <t>2</t>
    </r>
  </si>
  <si>
    <r>
      <rPr>
        <sz val="10"/>
        <color rgb="FF000000"/>
        <rFont val="Noto Sans CJK SC"/>
        <charset val="134"/>
      </rPr>
      <t>中证</t>
    </r>
    <r>
      <rPr>
        <sz val="10"/>
        <color rgb="FF000000"/>
        <rFont val="Arial"/>
        <charset val="1"/>
      </rPr>
      <t>A500·13</t>
    </r>
    <r>
      <rPr>
        <sz val="10"/>
        <color rgb="FF000000"/>
        <rFont val="Noto Sans CJK SC"/>
        <charset val="134"/>
      </rPr>
      <t>年低</t>
    </r>
  </si>
  <si>
    <r>
      <rPr>
        <sz val="9"/>
        <color rgb="FF595959"/>
        <rFont val="Noto Sans CJK SC"/>
        <charset val="134"/>
      </rPr>
      <t>图</t>
    </r>
    <r>
      <rPr>
        <sz val="9"/>
        <color rgb="FF595959"/>
        <rFont val="Arial"/>
        <charset val="1"/>
      </rPr>
      <t>3</t>
    </r>
  </si>
  <si>
    <r>
      <rPr>
        <b/>
        <sz val="10"/>
        <color rgb="FF000000"/>
        <rFont val="Noto Sans CJK SC"/>
        <charset val="134"/>
      </rPr>
      <t>中证</t>
    </r>
    <r>
      <rPr>
        <b/>
        <sz val="10"/>
        <color rgb="FF000000"/>
        <rFont val="Arial"/>
        <charset val="1"/>
      </rPr>
      <t>A500·15</t>
    </r>
    <r>
      <rPr>
        <b/>
        <sz val="10"/>
        <color rgb="FF000000"/>
        <rFont val="Noto Sans CJK SC"/>
        <charset val="134"/>
      </rPr>
      <t>高</t>
    </r>
  </si>
  <si>
    <r>
      <rPr>
        <sz val="10"/>
        <color rgb="FF000000"/>
        <rFont val="Noto Sans CJK SC"/>
        <charset val="134"/>
      </rPr>
      <t>中证</t>
    </r>
    <r>
      <rPr>
        <sz val="10"/>
        <color rgb="FF000000"/>
        <rFont val="Arial"/>
        <charset val="1"/>
      </rPr>
      <t>A500·18</t>
    </r>
    <r>
      <rPr>
        <sz val="10"/>
        <color rgb="FF000000"/>
        <rFont val="Noto Sans CJK SC"/>
        <charset val="134"/>
      </rPr>
      <t>末低</t>
    </r>
  </si>
  <si>
    <r>
      <rPr>
        <sz val="9"/>
        <color rgb="FF595959"/>
        <rFont val="Noto Sans CJK SC"/>
        <charset val="134"/>
      </rPr>
      <t>图</t>
    </r>
    <r>
      <rPr>
        <sz val="9"/>
        <color rgb="FF595959"/>
        <rFont val="Arial"/>
        <charset val="1"/>
      </rPr>
      <t>4</t>
    </r>
  </si>
  <si>
    <r>
      <rPr>
        <b/>
        <sz val="10"/>
        <color rgb="FF000000"/>
        <rFont val="Noto Sans CJK SC"/>
        <charset val="134"/>
      </rPr>
      <t>中证</t>
    </r>
    <r>
      <rPr>
        <b/>
        <sz val="10"/>
        <color rgb="FF000000"/>
        <rFont val="Arial"/>
        <charset val="1"/>
      </rPr>
      <t>A500·21</t>
    </r>
    <r>
      <rPr>
        <b/>
        <sz val="10"/>
        <color rgb="FF000000"/>
        <rFont val="Noto Sans CJK SC"/>
        <charset val="134"/>
      </rPr>
      <t>高</t>
    </r>
  </si>
  <si>
    <r>
      <rPr>
        <sz val="9"/>
        <color rgb="FF595959"/>
        <rFont val="Noto Sans CJK SC"/>
        <charset val="134"/>
      </rPr>
      <t>图</t>
    </r>
    <r>
      <rPr>
        <sz val="9"/>
        <color rgb="FF595959"/>
        <rFont val="Arial"/>
        <charset val="1"/>
      </rPr>
      <t>4/5</t>
    </r>
  </si>
  <si>
    <r>
      <rPr>
        <sz val="10"/>
        <color rgb="FF000000"/>
        <rFont val="Noto Sans CJK SC"/>
        <charset val="134"/>
      </rPr>
      <t>中证</t>
    </r>
    <r>
      <rPr>
        <sz val="10"/>
        <color rgb="FF000000"/>
        <rFont val="Arial"/>
        <charset val="1"/>
      </rPr>
      <t>A500·24</t>
    </r>
    <r>
      <rPr>
        <sz val="10"/>
        <color rgb="FF000000"/>
        <rFont val="Noto Sans CJK SC"/>
        <charset val="134"/>
      </rPr>
      <t>低</t>
    </r>
  </si>
  <si>
    <r>
      <rPr>
        <sz val="9"/>
        <color rgb="FF595959"/>
        <rFont val="Noto Sans CJK SC"/>
        <charset val="134"/>
      </rPr>
      <t>图</t>
    </r>
    <r>
      <rPr>
        <sz val="9"/>
        <color rgb="FF595959"/>
        <rFont val="Arial"/>
        <charset val="1"/>
      </rPr>
      <t>5</t>
    </r>
  </si>
  <si>
    <r>
      <rPr>
        <sz val="10"/>
        <color rgb="FF000000"/>
        <rFont val="Noto Sans CJK SC"/>
        <charset val="134"/>
      </rPr>
      <t>中证</t>
    </r>
    <r>
      <rPr>
        <sz val="10"/>
        <color rgb="FF000000"/>
        <rFont val="Arial"/>
        <charset val="1"/>
      </rPr>
      <t>A500·</t>
    </r>
    <r>
      <rPr>
        <sz val="10"/>
        <color rgb="FF000000"/>
        <rFont val="Noto Sans CJK SC"/>
        <charset val="134"/>
      </rPr>
      <t>当前</t>
    </r>
  </si>
  <si>
    <r>
      <rPr>
        <sz val="9"/>
        <color rgb="FF595959"/>
        <rFont val="Noto Sans CJK SC"/>
        <charset val="134"/>
      </rPr>
      <t>图</t>
    </r>
    <r>
      <rPr>
        <sz val="9"/>
        <color rgb="FF595959"/>
        <rFont val="Arial"/>
        <charset val="1"/>
      </rPr>
      <t>2-5</t>
    </r>
  </si>
  <si>
    <r>
      <rPr>
        <sz val="9"/>
        <color rgb="FF595959"/>
        <rFont val="Noto Sans CJK SC"/>
        <charset val="134"/>
      </rPr>
      <t>解读：从高点</t>
    </r>
    <r>
      <rPr>
        <sz val="9"/>
        <color rgb="FF595959"/>
        <rFont val="Arial"/>
        <charset val="1"/>
      </rPr>
      <t>(</t>
    </r>
    <r>
      <rPr>
        <sz val="9"/>
        <color rgb="FF595959"/>
        <rFont val="Noto Sans CJK SC"/>
        <charset val="134"/>
      </rPr>
      <t>中证</t>
    </r>
    <r>
      <rPr>
        <sz val="9"/>
        <color rgb="FF595959"/>
        <rFont val="Arial"/>
        <charset val="1"/>
      </rPr>
      <t>800</t>
    </r>
    <r>
      <rPr>
        <sz val="9"/>
        <color rgb="FF595959"/>
        <rFont val="Noto Sans CJK SC"/>
        <charset val="134"/>
      </rPr>
      <t>约</t>
    </r>
    <r>
      <rPr>
        <sz val="9"/>
        <color rgb="FF595959"/>
        <rFont val="Arial"/>
        <charset val="1"/>
      </rPr>
      <t>6453 / A500</t>
    </r>
    <r>
      <rPr>
        <sz val="9"/>
        <color rgb="FF595959"/>
        <rFont val="Noto Sans CJK SC"/>
        <charset val="134"/>
      </rPr>
      <t>约</t>
    </r>
    <r>
      <rPr>
        <sz val="9"/>
        <color rgb="FF595959"/>
        <rFont val="Arial"/>
        <charset val="1"/>
      </rPr>
      <t>6712)</t>
    </r>
    <r>
      <rPr>
        <sz val="9"/>
        <color rgb="FF595959"/>
        <rFont val="Noto Sans CJK SC"/>
        <charset val="134"/>
      </rPr>
      <t>算到今天都是负</t>
    </r>
    <r>
      <rPr>
        <sz val="9"/>
        <color rgb="FF595959"/>
        <rFont val="Arial"/>
        <charset val="1"/>
      </rPr>
      <t>/</t>
    </r>
    <r>
      <rPr>
        <sz val="9"/>
        <color rgb="FF595959"/>
        <rFont val="Noto Sans CJK SC"/>
        <charset val="134"/>
      </rPr>
      <t>微负；从低点</t>
    </r>
    <r>
      <rPr>
        <sz val="9"/>
        <color rgb="FF595959"/>
        <rFont val="Arial"/>
        <charset val="1"/>
      </rPr>
      <t>(1567/2181/3228/3573)</t>
    </r>
    <r>
      <rPr>
        <sz val="9"/>
        <color rgb="FF595959"/>
        <rFont val="Noto Sans CJK SC"/>
        <charset val="134"/>
      </rPr>
      <t>算都是可观正收益。</t>
    </r>
  </si>
  <si>
    <r>
      <rPr>
        <sz val="9"/>
        <color rgb="FF595959"/>
        <rFont val="Noto Sans CJK SC"/>
        <charset val="134"/>
      </rPr>
      <t>机关全在“从哪天起算”——与原报告“基期决定一切”一致。本页为精确数据，且不受年初</t>
    </r>
    <r>
      <rPr>
        <sz val="9"/>
        <color rgb="FF595959"/>
        <rFont val="Arial"/>
        <charset val="1"/>
      </rPr>
      <t>/</t>
    </r>
    <r>
      <rPr>
        <sz val="9"/>
        <color rgb="FF595959"/>
        <rFont val="Noto Sans CJK SC"/>
        <charset val="134"/>
      </rPr>
      <t>年末口径影响。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</si>
</sst>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9">
    <font>
      <sz val="11"/>
      <color theme="1"/>
      <name val="Calibri"/>
      <charset val="1"/>
    </font>
    <font>
      <b/>
      <sz val="15"/>
      <color rgb="FF1F3864"/>
      <name val="Noto Sans CJK SC"/>
      <charset val="134"/>
    </font>
    <font>
      <i/>
      <sz val="9"/>
      <color rgb="FF595959"/>
      <name val="Noto Sans CJK SC"/>
      <charset val="134"/>
    </font>
    <font>
      <b/>
      <sz val="10"/>
      <color rgb="FFFFFFFF"/>
      <name val="Noto Sans CJK SC"/>
      <charset val="134"/>
    </font>
    <font>
      <sz val="10"/>
      <color rgb="FF000000"/>
      <name val="Noto Sans CJK SC"/>
      <charset val="134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Noto Sans CJK SC"/>
      <charset val="134"/>
    </font>
    <font>
      <sz val="9"/>
      <color rgb="FF595959"/>
      <name val="Noto Sans CJK SC"/>
      <charset val="134"/>
    </font>
    <font>
      <b/>
      <sz val="15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color rgb="FF9C2D2D"/>
      <name val="Arial"/>
      <charset val="1"/>
    </font>
    <font>
      <b/>
      <sz val="11"/>
      <color rgb="FF1F3864"/>
      <name val="Noto Sans CJK SC"/>
      <charset val="134"/>
    </font>
    <font>
      <b/>
      <sz val="10"/>
      <color rgb="FF9C2D2D"/>
      <name val="Noto Sans CJK SC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595959"/>
      <name val="Arial"/>
      <charset val="1"/>
    </font>
    <font>
      <i/>
      <sz val="9"/>
      <color rgb="FF595959"/>
      <name val="Arial"/>
      <charset val="1"/>
    </font>
    <font>
      <b/>
      <sz val="10"/>
      <color rgb="FF000000"/>
      <name val="Arial"/>
      <charset val="1"/>
    </font>
    <font>
      <b/>
      <sz val="11"/>
      <color rgb="FF1F3864"/>
      <name val="Arial"/>
      <charset val="1"/>
    </font>
  </fonts>
  <fills count="4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F4E1F4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4E1F4"/>
        <bgColor rgb="FFFCE4E4"/>
      </patternFill>
    </fill>
    <fill>
      <patternFill patternType="solid">
        <fgColor rgb="FFFFF2CC"/>
        <bgColor rgb="FFFCE4E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Border="0" applyAlignment="0" applyProtection="0"/>
    <xf numFmtId="44" fontId="14" fillId="0" borderId="0" applyBorder="0" applyAlignment="0" applyProtection="0"/>
    <xf numFmtId="9" fontId="14" fillId="0" borderId="0" applyBorder="0" applyAlignment="0" applyProtection="0"/>
    <xf numFmtId="41" fontId="14" fillId="0" borderId="0" applyBorder="0" applyAlignment="0" applyProtection="0"/>
    <xf numFmtId="42" fontId="14" fillId="0" borderId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0" borderId="5" applyNumberFormat="0" applyAlignment="0" applyProtection="0">
      <alignment vertical="center"/>
    </xf>
    <xf numFmtId="0" fontId="25" fillId="11" borderId="6" applyNumberFormat="0" applyAlignment="0" applyProtection="0">
      <alignment vertical="center"/>
    </xf>
    <xf numFmtId="0" fontId="26" fillId="11" borderId="5" applyNumberFormat="0" applyAlignment="0" applyProtection="0">
      <alignment vertical="center"/>
    </xf>
    <xf numFmtId="0" fontId="27" fillId="12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</cellStyleXfs>
  <cellXfs count="64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2" fontId="5" fillId="3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2" fontId="5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/>
    <xf numFmtId="2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/>
    <xf numFmtId="176" fontId="6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/>
    <xf numFmtId="0" fontId="0" fillId="3" borderId="1" xfId="0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/>
    <xf numFmtId="0" fontId="0" fillId="5" borderId="1" xfId="0" applyFont="1" applyFill="1" applyBorder="1" applyAlignment="1">
      <alignment horizontal="center" vertical="center"/>
    </xf>
    <xf numFmtId="0" fontId="9" fillId="0" borderId="0" xfId="0" applyFont="1" applyBorder="1"/>
    <xf numFmtId="0" fontId="4" fillId="0" borderId="0" xfId="0" applyFont="1"/>
    <xf numFmtId="3" fontId="5" fillId="6" borderId="1" xfId="0" applyNumberFormat="1" applyFont="1" applyFill="1" applyBorder="1"/>
    <xf numFmtId="0" fontId="8" fillId="0" borderId="0" xfId="0" applyFont="1" applyBorder="1"/>
    <xf numFmtId="0" fontId="10" fillId="2" borderId="1" xfId="0" applyFont="1" applyFill="1" applyBorder="1" applyAlignment="1">
      <alignment horizontal="center" vertical="center"/>
    </xf>
    <xf numFmtId="1" fontId="6" fillId="0" borderId="1" xfId="0" applyNumberFormat="1" applyFont="1" applyBorder="1"/>
    <xf numFmtId="2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" fontId="6" fillId="5" borderId="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1" fontId="6" fillId="3" borderId="1" xfId="0" applyNumberFormat="1" applyFont="1" applyFill="1" applyBorder="1"/>
    <xf numFmtId="0" fontId="7" fillId="3" borderId="1" xfId="0" applyFont="1" applyFill="1" applyBorder="1" applyAlignment="1">
      <alignment horizontal="center" vertical="center"/>
    </xf>
    <xf numFmtId="1" fontId="6" fillId="7" borderId="1" xfId="0" applyNumberFormat="1" applyFont="1" applyFill="1" applyBorder="1"/>
    <xf numFmtId="2" fontId="5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1" fontId="6" fillId="8" borderId="1" xfId="0" applyNumberFormat="1" applyFont="1" applyFill="1" applyBorder="1"/>
    <xf numFmtId="2" fontId="5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2" fontId="6" fillId="7" borderId="1" xfId="0" applyNumberFormat="1" applyFont="1" applyFill="1" applyBorder="1" applyAlignment="1">
      <alignment horizontal="center" vertical="center"/>
    </xf>
    <xf numFmtId="176" fontId="6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center" vertical="center"/>
    </xf>
    <xf numFmtId="176" fontId="6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0" borderId="0" xfId="0" applyFont="1"/>
    <xf numFmtId="0" fontId="2" fillId="0" borderId="0" xfId="0" applyFont="1"/>
    <xf numFmtId="0" fontId="1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3" fillId="4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78787"/>
      <rgbColor rgb="009999FF"/>
      <rgbColor rgb="00993366"/>
      <rgbColor rgb="00FFF2CC"/>
      <rgbColor rgb="00F2F2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4E1F4"/>
      <rgbColor rgb="00E2EFDA"/>
      <rgbColor rgb="00FFFF99"/>
      <rgbColor rgb="0099CCFF"/>
      <rgbColor rgb="00FF99CC"/>
      <rgbColor rgb="00CC99FF"/>
      <rgbColor rgb="00FCE4E4"/>
      <rgbColor rgb="004A7EBB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C2D2D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中证800 逐年1月收盘(含估读)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796604326467"/>
          <c:y val="0.00679809653297077"/>
          <c:w val="0.877617857450659"/>
          <c:h val="0.630636755041922"/>
        </c:manualLayout>
      </c:layout>
      <c:lineChart>
        <c:grouping val="standard"/>
        <c:varyColors val="0"/>
        <c:ser>
          <c:idx val="0"/>
          <c:order val="0"/>
          <c:tx>
            <c:strRef>
              <c:f>'中证800(年初)'!$D$6</c:f>
              <c:strCache>
                <c:ptCount val="1"/>
                <c:pt idx="0">
                  <c:v>1月收盘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9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'中证800(年初)'!$A$7:$A$43</c:f>
              <c:strCache>
                <c:ptCount val="37"/>
                <c:pt idx="0" c:formatCode="0">
                  <c:v>1990</c:v>
                </c:pt>
                <c:pt idx="1" c:formatCode="0">
                  <c:v>1991</c:v>
                </c:pt>
                <c:pt idx="2" c:formatCode="0">
                  <c:v>1992</c:v>
                </c:pt>
                <c:pt idx="3" c:formatCode="0">
                  <c:v>1993</c:v>
                </c:pt>
                <c:pt idx="4" c:formatCode="0">
                  <c:v>1994</c:v>
                </c:pt>
                <c:pt idx="5" c:formatCode="0">
                  <c:v>1995</c:v>
                </c:pt>
                <c:pt idx="6" c:formatCode="0">
                  <c:v>1996</c:v>
                </c:pt>
                <c:pt idx="7" c:formatCode="0">
                  <c:v>1997</c:v>
                </c:pt>
                <c:pt idx="8" c:formatCode="0">
                  <c:v>1998</c:v>
                </c:pt>
                <c:pt idx="9" c:formatCode="0">
                  <c:v>1999</c:v>
                </c:pt>
                <c:pt idx="10" c:formatCode="0">
                  <c:v>2000</c:v>
                </c:pt>
                <c:pt idx="11" c:formatCode="0">
                  <c:v>2001</c:v>
                </c:pt>
                <c:pt idx="12" c:formatCode="0">
                  <c:v>2002</c:v>
                </c:pt>
                <c:pt idx="13" c:formatCode="0">
                  <c:v>2003</c:v>
                </c:pt>
                <c:pt idx="14" c:formatCode="0">
                  <c:v>2004</c:v>
                </c:pt>
                <c:pt idx="15" c:formatCode="0">
                  <c:v>2005</c:v>
                </c:pt>
                <c:pt idx="16" c:formatCode="0">
                  <c:v>2007</c:v>
                </c:pt>
                <c:pt idx="17" c:formatCode="0">
                  <c:v>2008</c:v>
                </c:pt>
                <c:pt idx="18" c:formatCode="0">
                  <c:v>2009</c:v>
                </c:pt>
                <c:pt idx="19" c:formatCode="0">
                  <c:v>2010</c:v>
                </c:pt>
                <c:pt idx="20" c:formatCode="0">
                  <c:v>2011</c:v>
                </c:pt>
                <c:pt idx="21" c:formatCode="0">
                  <c:v>2012</c:v>
                </c:pt>
                <c:pt idx="22" c:formatCode="0">
                  <c:v>2013</c:v>
                </c:pt>
                <c:pt idx="23" c:formatCode="0">
                  <c:v>2014</c:v>
                </c:pt>
                <c:pt idx="24" c:formatCode="0">
                  <c:v>2015</c:v>
                </c:pt>
                <c:pt idx="25" c:formatCode="0">
                  <c:v>2016</c:v>
                </c:pt>
                <c:pt idx="26" c:formatCode="0">
                  <c:v>2017</c:v>
                </c:pt>
                <c:pt idx="27" c:formatCode="0">
                  <c:v>2018</c:v>
                </c:pt>
                <c:pt idx="28" c:formatCode="0">
                  <c:v>2019</c:v>
                </c:pt>
                <c:pt idx="29" c:formatCode="0">
                  <c:v>2020</c:v>
                </c:pt>
                <c:pt idx="30" c:formatCode="0">
                  <c:v>2021</c:v>
                </c:pt>
                <c:pt idx="31" c:formatCode="0">
                  <c:v>2022</c:v>
                </c:pt>
                <c:pt idx="32" c:formatCode="0">
                  <c:v>2023</c:v>
                </c:pt>
                <c:pt idx="33" c:formatCode="0">
                  <c:v>2024</c:v>
                </c:pt>
                <c:pt idx="34" c:formatCode="0">
                  <c:v>2025</c:v>
                </c:pt>
                <c:pt idx="35" c:formatCode="0">
                  <c:v>2026</c:v>
                </c:pt>
                <c:pt idx="36">
                  <c:v>现在</c:v>
                </c:pt>
              </c:strCache>
            </c:strRef>
          </c:cat>
          <c:val>
            <c:numRef>
              <c:f>'中证800(年初)'!$D$7:$D$43</c:f>
              <c:numCache>
                <c:formatCode>#,##0</c:formatCode>
                <c:ptCount val="37"/>
                <c:pt idx="0">
                  <c:v>96.05</c:v>
                </c:pt>
                <c:pt idx="1">
                  <c:v>127.61</c:v>
                </c:pt>
                <c:pt idx="2">
                  <c:v>292.75</c:v>
                </c:pt>
                <c:pt idx="3">
                  <c:v>780.39</c:v>
                </c:pt>
                <c:pt idx="4">
                  <c:v>833.8</c:v>
                </c:pt>
                <c:pt idx="5">
                  <c:v>647.87</c:v>
                </c:pt>
                <c:pt idx="6">
                  <c:v>555.29</c:v>
                </c:pt>
                <c:pt idx="7">
                  <c:v>917.02</c:v>
                </c:pt>
                <c:pt idx="8">
                  <c:v>1194.1</c:v>
                </c:pt>
                <c:pt idx="9">
                  <c:v>1146.7</c:v>
                </c:pt>
                <c:pt idx="10">
                  <c:v>1366.58</c:v>
                </c:pt>
                <c:pt idx="11">
                  <c:v>2073.48</c:v>
                </c:pt>
                <c:pt idx="12">
                  <c:v>1645.97</c:v>
                </c:pt>
                <c:pt idx="13">
                  <c:v>1357.65</c:v>
                </c:pt>
                <c:pt idx="14">
                  <c:v>1497.04</c:v>
                </c:pt>
                <c:pt idx="15">
                  <c:v>1266.5</c:v>
                </c:pt>
                <c:pt idx="16">
                  <c:v>2450</c:v>
                </c:pt>
                <c:pt idx="17">
                  <c:v>5050</c:v>
                </c:pt>
                <c:pt idx="18">
                  <c:v>1900</c:v>
                </c:pt>
                <c:pt idx="19">
                  <c:v>3550</c:v>
                </c:pt>
                <c:pt idx="20">
                  <c:v>3050</c:v>
                </c:pt>
                <c:pt idx="21">
                  <c:v>2500</c:v>
                </c:pt>
                <c:pt idx="22">
                  <c:v>2600</c:v>
                </c:pt>
                <c:pt idx="23">
                  <c:v>2450</c:v>
                </c:pt>
                <c:pt idx="24">
                  <c:v>3500</c:v>
                </c:pt>
                <c:pt idx="25">
                  <c:v>4050</c:v>
                </c:pt>
                <c:pt idx="26">
                  <c:v>4000</c:v>
                </c:pt>
                <c:pt idx="27">
                  <c:v>4700</c:v>
                </c:pt>
                <c:pt idx="28">
                  <c:v>3350</c:v>
                </c:pt>
                <c:pt idx="29">
                  <c:v>4000</c:v>
                </c:pt>
                <c:pt idx="30">
                  <c:v>5050</c:v>
                </c:pt>
                <c:pt idx="31">
                  <c:v>5400</c:v>
                </c:pt>
                <c:pt idx="32">
                  <c:v>4350</c:v>
                </c:pt>
                <c:pt idx="33">
                  <c:v>3950</c:v>
                </c:pt>
                <c:pt idx="34">
                  <c:v>4050</c:v>
                </c:pt>
                <c:pt idx="35">
                  <c:v>5350</c:v>
                </c:pt>
                <c:pt idx="36">
                  <c:v>5485.86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8407632"/>
        <c:axId val="9146676"/>
      </c:lineChart>
      <c:catAx>
        <c:axId val="840763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9146676"/>
        <c:crosses val="autoZero"/>
        <c:auto val="1"/>
        <c:lblAlgn val="ctr"/>
        <c:lblOffset val="100"/>
        <c:noMultiLvlLbl val="0"/>
      </c:catAx>
      <c:valAx>
        <c:axId val="914667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点位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84076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8181d9b9-9119-4f7b-a71a-405279df686a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中证A500 逐年1月收盘(含估读)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0335901653536"/>
          <c:y val="0.238452787258248"/>
          <c:w val="0.877066920612934"/>
          <c:h val="0.629124004550626"/>
        </c:manualLayout>
      </c:layout>
      <c:lineChart>
        <c:grouping val="standard"/>
        <c:varyColors val="0"/>
        <c:ser>
          <c:idx val="0"/>
          <c:order val="0"/>
          <c:tx>
            <c:strRef>
              <c:f>'中证A500(年初)'!$D$6</c:f>
              <c:strCache>
                <c:ptCount val="1"/>
                <c:pt idx="0">
                  <c:v>1月收盘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9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'中证A500(年初)'!$A$7:$A$45</c:f>
              <c:strCache>
                <c:ptCount val="39"/>
                <c:pt idx="0" c:formatCode="0">
                  <c:v>1990</c:v>
                </c:pt>
                <c:pt idx="1" c:formatCode="0">
                  <c:v>1991</c:v>
                </c:pt>
                <c:pt idx="2" c:formatCode="0">
                  <c:v>1992</c:v>
                </c:pt>
                <c:pt idx="3" c:formatCode="0">
                  <c:v>1993</c:v>
                </c:pt>
                <c:pt idx="4" c:formatCode="0">
                  <c:v>1994</c:v>
                </c:pt>
                <c:pt idx="5" c:formatCode="0">
                  <c:v>1995</c:v>
                </c:pt>
                <c:pt idx="6" c:formatCode="0">
                  <c:v>1996</c:v>
                </c:pt>
                <c:pt idx="7" c:formatCode="0">
                  <c:v>1997</c:v>
                </c:pt>
                <c:pt idx="8" c:formatCode="0">
                  <c:v>1998</c:v>
                </c:pt>
                <c:pt idx="9" c:formatCode="0">
                  <c:v>1999</c:v>
                </c:pt>
                <c:pt idx="10" c:formatCode="0">
                  <c:v>2000</c:v>
                </c:pt>
                <c:pt idx="11" c:formatCode="0">
                  <c:v>2001</c:v>
                </c:pt>
                <c:pt idx="12" c:formatCode="0">
                  <c:v>2002</c:v>
                </c:pt>
                <c:pt idx="13" c:formatCode="0">
                  <c:v>2003</c:v>
                </c:pt>
                <c:pt idx="14" c:formatCode="0">
                  <c:v>2004</c:v>
                </c:pt>
                <c:pt idx="15" c:formatCode="0">
                  <c:v>2005</c:v>
                </c:pt>
                <c:pt idx="16" c:formatCode="0">
                  <c:v>2005</c:v>
                </c:pt>
                <c:pt idx="17" c:formatCode="0">
                  <c:v>2006</c:v>
                </c:pt>
                <c:pt idx="18" c:formatCode="0">
                  <c:v>2007</c:v>
                </c:pt>
                <c:pt idx="19" c:formatCode="0">
                  <c:v>2008</c:v>
                </c:pt>
                <c:pt idx="20" c:formatCode="0">
                  <c:v>2009</c:v>
                </c:pt>
                <c:pt idx="21" c:formatCode="0">
                  <c:v>2010</c:v>
                </c:pt>
                <c:pt idx="22" c:formatCode="0">
                  <c:v>2011</c:v>
                </c:pt>
                <c:pt idx="23" c:formatCode="0">
                  <c:v>2012</c:v>
                </c:pt>
                <c:pt idx="24" c:formatCode="0">
                  <c:v>2013</c:v>
                </c:pt>
                <c:pt idx="25" c:formatCode="0">
                  <c:v>2014</c:v>
                </c:pt>
                <c:pt idx="26" c:formatCode="0">
                  <c:v>2015</c:v>
                </c:pt>
                <c:pt idx="27" c:formatCode="0">
                  <c:v>2016</c:v>
                </c:pt>
                <c:pt idx="28" c:formatCode="0">
                  <c:v>2017</c:v>
                </c:pt>
                <c:pt idx="29" c:formatCode="0">
                  <c:v>2018</c:v>
                </c:pt>
                <c:pt idx="30" c:formatCode="0">
                  <c:v>2019</c:v>
                </c:pt>
                <c:pt idx="31" c:formatCode="0">
                  <c:v>2020</c:v>
                </c:pt>
                <c:pt idx="32" c:formatCode="0">
                  <c:v>2021</c:v>
                </c:pt>
                <c:pt idx="33" c:formatCode="0">
                  <c:v>2022</c:v>
                </c:pt>
                <c:pt idx="34" c:formatCode="0">
                  <c:v>2023</c:v>
                </c:pt>
                <c:pt idx="35" c:formatCode="0">
                  <c:v>2024</c:v>
                </c:pt>
                <c:pt idx="36" c:formatCode="0">
                  <c:v>2025</c:v>
                </c:pt>
                <c:pt idx="37" c:formatCode="0">
                  <c:v>2026</c:v>
                </c:pt>
                <c:pt idx="38">
                  <c:v>现在</c:v>
                </c:pt>
              </c:strCache>
            </c:strRef>
          </c:cat>
          <c:val>
            <c:numRef>
              <c:f>'中证A500(年初)'!$D$7:$D$45</c:f>
              <c:numCache>
                <c:formatCode>#,##0</c:formatCode>
                <c:ptCount val="39"/>
                <c:pt idx="0">
                  <c:v>96.05</c:v>
                </c:pt>
                <c:pt idx="1">
                  <c:v>127.61</c:v>
                </c:pt>
                <c:pt idx="2">
                  <c:v>292.75</c:v>
                </c:pt>
                <c:pt idx="3">
                  <c:v>780.39</c:v>
                </c:pt>
                <c:pt idx="4">
                  <c:v>833.8</c:v>
                </c:pt>
                <c:pt idx="5">
                  <c:v>647.87</c:v>
                </c:pt>
                <c:pt idx="6">
                  <c:v>555.29</c:v>
                </c:pt>
                <c:pt idx="7">
                  <c:v>917.02</c:v>
                </c:pt>
                <c:pt idx="8">
                  <c:v>1194.1</c:v>
                </c:pt>
                <c:pt idx="9">
                  <c:v>1146.7</c:v>
                </c:pt>
                <c:pt idx="10">
                  <c:v>1366.58</c:v>
                </c:pt>
                <c:pt idx="11">
                  <c:v>2073.48</c:v>
                </c:pt>
                <c:pt idx="12">
                  <c:v>1645.97</c:v>
                </c:pt>
                <c:pt idx="13">
                  <c:v>1357.65</c:v>
                </c:pt>
                <c:pt idx="14">
                  <c:v>1497.04</c:v>
                </c:pt>
                <c:pt idx="15">
                  <c:v>1266.5</c:v>
                </c:pt>
                <c:pt idx="16">
                  <c:v>793</c:v>
                </c:pt>
                <c:pt idx="17">
                  <c:v>1050</c:v>
                </c:pt>
                <c:pt idx="18">
                  <c:v>2600</c:v>
                </c:pt>
                <c:pt idx="19">
                  <c:v>4900</c:v>
                </c:pt>
                <c:pt idx="20">
                  <c:v>1850</c:v>
                </c:pt>
                <c:pt idx="21">
                  <c:v>3500</c:v>
                </c:pt>
                <c:pt idx="22">
                  <c:v>3050</c:v>
                </c:pt>
                <c:pt idx="23">
                  <c:v>2450</c:v>
                </c:pt>
                <c:pt idx="24">
                  <c:v>2600</c:v>
                </c:pt>
                <c:pt idx="25">
                  <c:v>2550</c:v>
                </c:pt>
                <c:pt idx="26">
                  <c:v>3700</c:v>
                </c:pt>
                <c:pt idx="27">
                  <c:v>4050</c:v>
                </c:pt>
                <c:pt idx="28">
                  <c:v>4150</c:v>
                </c:pt>
                <c:pt idx="29">
                  <c:v>4750</c:v>
                </c:pt>
                <c:pt idx="30">
                  <c:v>3550</c:v>
                </c:pt>
                <c:pt idx="31">
                  <c:v>4350</c:v>
                </c:pt>
                <c:pt idx="32">
                  <c:v>5450</c:v>
                </c:pt>
                <c:pt idx="33">
                  <c:v>5950</c:v>
                </c:pt>
                <c:pt idx="34">
                  <c:v>4750</c:v>
                </c:pt>
                <c:pt idx="35">
                  <c:v>4150</c:v>
                </c:pt>
                <c:pt idx="36">
                  <c:v>4900</c:v>
                </c:pt>
                <c:pt idx="37">
                  <c:v>5950</c:v>
                </c:pt>
                <c:pt idx="38">
                  <c:v>6100.14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73239810"/>
        <c:axId val="22990875"/>
      </c:lineChart>
      <c:catAx>
        <c:axId val="7323981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22990875"/>
        <c:crosses val="autoZero"/>
        <c:auto val="1"/>
        <c:lblAlgn val="ctr"/>
        <c:lblOffset val="100"/>
        <c:noMultiLvlLbl val="0"/>
      </c:catAx>
      <c:valAx>
        <c:axId val="2299087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点位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732398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fb6c7c75-5ce6-4c4b-a9d0-c1b5f71cd5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615315</xdr:colOff>
      <xdr:row>15</xdr:row>
      <xdr:rowOff>192405</xdr:rowOff>
    </xdr:from>
    <xdr:to>
      <xdr:col>19</xdr:col>
      <xdr:colOff>187260</xdr:colOff>
      <xdr:row>29</xdr:row>
      <xdr:rowOff>179085</xdr:rowOff>
    </xdr:to>
    <xdr:graphicFrame>
      <xdr:nvGraphicFramePr>
        <xdr:cNvPr id="2" name="Chart 1"/>
        <xdr:cNvGraphicFramePr/>
      </xdr:nvGraphicFramePr>
      <xdr:xfrm>
        <a:off x="9149715" y="3626485"/>
        <a:ext cx="7331710" cy="2973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25400</xdr:colOff>
      <xdr:row>17</xdr:row>
      <xdr:rowOff>127000</xdr:rowOff>
    </xdr:from>
    <xdr:to>
      <xdr:col>19</xdr:col>
      <xdr:colOff>302260</xdr:colOff>
      <xdr:row>31</xdr:row>
      <xdr:rowOff>90805</xdr:rowOff>
    </xdr:to>
    <xdr:graphicFrame>
      <xdr:nvGraphicFramePr>
        <xdr:cNvPr id="3" name="Chart 1"/>
        <xdr:cNvGraphicFramePr/>
      </xdr:nvGraphicFramePr>
      <xdr:xfrm>
        <a:off x="9265285" y="3987800"/>
        <a:ext cx="7331710" cy="2950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13"/>
  <sheetViews>
    <sheetView showGridLines="0" tabSelected="1" workbookViewId="0">
      <selection activeCell="A1" sqref="A1"/>
    </sheetView>
  </sheetViews>
  <sheetFormatPr defaultColWidth="8.6796875" defaultRowHeight="16.8" outlineLevelCol="1"/>
  <cols>
    <col min="1" max="1" width="3" customWidth="1"/>
    <col min="2" max="2" width="112" customWidth="1"/>
  </cols>
  <sheetData>
    <row r="1" ht="22" spans="2:2">
      <c r="B1" s="58" t="s">
        <v>0</v>
      </c>
    </row>
    <row r="2" spans="2:2">
      <c r="B2" s="59" t="s">
        <v>1</v>
      </c>
    </row>
    <row r="4" ht="18" customHeight="1" spans="2:2">
      <c r="B4" s="60" t="s">
        <v>2</v>
      </c>
    </row>
    <row r="5" ht="51.75" customHeight="1" spans="2:2">
      <c r="B5" s="61" t="s">
        <v>3</v>
      </c>
    </row>
    <row r="6" ht="18" customHeight="1" spans="2:2">
      <c r="B6" s="62" t="s">
        <v>4</v>
      </c>
    </row>
    <row r="7" ht="51.75" customHeight="1" spans="2:2">
      <c r="B7" s="61" t="s">
        <v>5</v>
      </c>
    </row>
    <row r="8" ht="18" customHeight="1" spans="2:2">
      <c r="B8" s="60" t="s">
        <v>6</v>
      </c>
    </row>
    <row r="9" ht="51.75" customHeight="1" spans="2:2">
      <c r="B9" s="61" t="s">
        <v>7</v>
      </c>
    </row>
    <row r="10" ht="18" customHeight="1" spans="2:2">
      <c r="B10" s="60" t="s">
        <v>8</v>
      </c>
    </row>
    <row r="11" ht="51.75" customHeight="1" spans="2:2">
      <c r="B11" s="63" t="s">
        <v>9</v>
      </c>
    </row>
    <row r="12" ht="18" customHeight="1" spans="2:2">
      <c r="B12" s="60" t="s">
        <v>10</v>
      </c>
    </row>
    <row r="13" ht="51.75" customHeight="1" spans="2:2">
      <c r="B13" s="63" t="s">
        <v>11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showGridLines="0" topLeftCell="A2" workbookViewId="0">
      <selection activeCell="G24" sqref="G24"/>
    </sheetView>
  </sheetViews>
  <sheetFormatPr defaultColWidth="8.6796875" defaultRowHeight="16.8" outlineLevelCol="7"/>
  <cols>
    <col min="1" max="1" width="9" customWidth="1"/>
    <col min="2" max="2" width="10" customWidth="1"/>
    <col min="3" max="4" width="12" customWidth="1"/>
    <col min="5" max="5" width="9" customWidth="1"/>
    <col min="6" max="6" width="13" customWidth="1"/>
    <col min="7" max="7" width="14" customWidth="1"/>
    <col min="8" max="8" width="26" customWidth="1"/>
  </cols>
  <sheetData>
    <row r="1" ht="22" spans="1:8">
      <c r="A1" s="25" t="s">
        <v>12</v>
      </c>
      <c r="B1" s="25"/>
      <c r="C1" s="25"/>
      <c r="D1" s="25"/>
      <c r="E1" s="25"/>
      <c r="F1" s="25"/>
      <c r="G1" s="25"/>
      <c r="H1" s="25"/>
    </row>
    <row r="2" spans="1:8">
      <c r="A2" s="2" t="s">
        <v>13</v>
      </c>
      <c r="B2" s="2"/>
      <c r="C2" s="2"/>
      <c r="D2" s="2"/>
      <c r="E2" s="2"/>
      <c r="F2" s="2"/>
      <c r="G2" s="2"/>
      <c r="H2" s="2"/>
    </row>
    <row r="3" spans="1:8">
      <c r="A3" s="26" t="s">
        <v>14</v>
      </c>
      <c r="C3" s="27">
        <v>5486</v>
      </c>
      <c r="D3" s="28" t="s">
        <v>15</v>
      </c>
      <c r="E3" s="28"/>
      <c r="F3" s="28"/>
      <c r="G3" s="28"/>
      <c r="H3" s="28"/>
    </row>
    <row r="4" spans="1:8">
      <c r="A4" s="26" t="s">
        <v>16</v>
      </c>
      <c r="C4" s="27">
        <v>4100</v>
      </c>
      <c r="D4" s="28" t="s">
        <v>17</v>
      </c>
      <c r="E4" s="28"/>
      <c r="F4" s="28"/>
      <c r="G4" s="28"/>
      <c r="H4" s="28"/>
    </row>
    <row r="6" ht="30" customHeight="1" spans="1:8">
      <c r="A6" s="3" t="s">
        <v>18</v>
      </c>
      <c r="B6" s="3" t="s">
        <v>19</v>
      </c>
      <c r="C6" s="3" t="s">
        <v>20</v>
      </c>
      <c r="D6" s="29" t="s">
        <v>21</v>
      </c>
      <c r="E6" s="3" t="s">
        <v>22</v>
      </c>
      <c r="F6" s="3" t="s">
        <v>23</v>
      </c>
      <c r="G6" s="3" t="s">
        <v>24</v>
      </c>
      <c r="H6" s="3" t="s">
        <v>25</v>
      </c>
    </row>
    <row r="7" spans="1:8">
      <c r="A7" s="30">
        <v>1990</v>
      </c>
      <c r="B7" s="31">
        <v>1990</v>
      </c>
      <c r="C7" s="32" t="s">
        <v>26</v>
      </c>
      <c r="D7" s="33">
        <v>96.05</v>
      </c>
      <c r="E7" s="47">
        <f t="shared" ref="E7:E43" si="0">2026.41-B7</f>
        <v>36.4100000000001</v>
      </c>
      <c r="F7" s="48">
        <f>$C$4/D7-1</f>
        <v>41.6861009890682</v>
      </c>
      <c r="G7" s="48">
        <f>LN($C$4/D7)/(2026.41-B7)</f>
        <v>0.103100064912876</v>
      </c>
      <c r="H7" s="49" t="s">
        <v>27</v>
      </c>
    </row>
    <row r="8" spans="1:8">
      <c r="A8" s="34">
        <v>1991</v>
      </c>
      <c r="B8" s="13">
        <v>1991</v>
      </c>
      <c r="C8" s="35" t="s">
        <v>26</v>
      </c>
      <c r="D8" s="14">
        <v>127.61</v>
      </c>
      <c r="E8" s="15">
        <f t="shared" si="0"/>
        <v>35.4100000000001</v>
      </c>
      <c r="F8" s="22">
        <f>$C$4/D8-1</f>
        <v>31.129143484053</v>
      </c>
      <c r="G8" s="22">
        <f>LN($C$4/D8)/(2026.41-B8)</f>
        <v>0.0979882382080346</v>
      </c>
      <c r="H8" s="50" t="s">
        <v>27</v>
      </c>
    </row>
    <row r="9" spans="1:8">
      <c r="A9" s="30">
        <v>1992</v>
      </c>
      <c r="B9" s="31">
        <v>1992</v>
      </c>
      <c r="C9" s="32" t="s">
        <v>26</v>
      </c>
      <c r="D9" s="33">
        <v>292.75</v>
      </c>
      <c r="E9" s="47">
        <f t="shared" si="0"/>
        <v>34.4100000000001</v>
      </c>
      <c r="F9" s="48">
        <f>$C$4/D9-1</f>
        <v>13.0051238257899</v>
      </c>
      <c r="G9" s="48">
        <f>LN($C$4/D9)/(2026.41-B9)</f>
        <v>0.076705122063777</v>
      </c>
      <c r="H9" s="49" t="s">
        <v>27</v>
      </c>
    </row>
    <row r="10" spans="1:8">
      <c r="A10" s="34">
        <v>1993</v>
      </c>
      <c r="B10" s="13">
        <v>1993</v>
      </c>
      <c r="C10" s="35" t="s">
        <v>26</v>
      </c>
      <c r="D10" s="14">
        <v>780.39</v>
      </c>
      <c r="E10" s="15">
        <f t="shared" si="0"/>
        <v>33.4100000000001</v>
      </c>
      <c r="F10" s="22">
        <f>$C$4/D10-1</f>
        <v>4.25378336472789</v>
      </c>
      <c r="G10" s="22">
        <f>LN($C$4/D10)/(2026.41-B10)</f>
        <v>0.0496542489663905</v>
      </c>
      <c r="H10" s="50" t="s">
        <v>27</v>
      </c>
    </row>
    <row r="11" spans="1:8">
      <c r="A11" s="30">
        <v>1994</v>
      </c>
      <c r="B11" s="31">
        <v>1994</v>
      </c>
      <c r="C11" s="32" t="s">
        <v>26</v>
      </c>
      <c r="D11" s="33">
        <v>833.8</v>
      </c>
      <c r="E11" s="47">
        <f t="shared" si="0"/>
        <v>32.4100000000001</v>
      </c>
      <c r="F11" s="48">
        <f>$C$4/D11-1</f>
        <v>3.91724634204845</v>
      </c>
      <c r="G11" s="48">
        <f>LN($C$4/D11)/(2026.41-B11)</f>
        <v>0.049143742278485</v>
      </c>
      <c r="H11" s="49" t="s">
        <v>27</v>
      </c>
    </row>
    <row r="12" spans="1:8">
      <c r="A12" s="34">
        <v>1995</v>
      </c>
      <c r="B12" s="13">
        <v>1995</v>
      </c>
      <c r="C12" s="35" t="s">
        <v>26</v>
      </c>
      <c r="D12" s="14">
        <v>647.87</v>
      </c>
      <c r="E12" s="15">
        <f t="shared" si="0"/>
        <v>31.4100000000001</v>
      </c>
      <c r="F12" s="22">
        <f>$C$4/D12-1</f>
        <v>5.32843008628274</v>
      </c>
      <c r="G12" s="22">
        <f>LN($C$4/D12)/(2026.41-B12)</f>
        <v>0.0587409167064759</v>
      </c>
      <c r="H12" s="50" t="s">
        <v>27</v>
      </c>
    </row>
    <row r="13" spans="1:8">
      <c r="A13" s="30">
        <v>1996</v>
      </c>
      <c r="B13" s="31">
        <v>1996</v>
      </c>
      <c r="C13" s="32" t="s">
        <v>26</v>
      </c>
      <c r="D13" s="33">
        <v>555.29</v>
      </c>
      <c r="E13" s="47">
        <f t="shared" si="0"/>
        <v>30.4100000000001</v>
      </c>
      <c r="F13" s="48">
        <f>$C$4/D13-1</f>
        <v>6.38352932701831</v>
      </c>
      <c r="G13" s="48">
        <f>LN($C$4/D13)/(2026.41-B13)</f>
        <v>0.0657432342285694</v>
      </c>
      <c r="H13" s="49" t="s">
        <v>27</v>
      </c>
    </row>
    <row r="14" spans="1:8">
      <c r="A14" s="34">
        <v>1997</v>
      </c>
      <c r="B14" s="13">
        <v>1997</v>
      </c>
      <c r="C14" s="35" t="s">
        <v>26</v>
      </c>
      <c r="D14" s="14">
        <v>917.02</v>
      </c>
      <c r="E14" s="15">
        <f t="shared" si="0"/>
        <v>29.4100000000001</v>
      </c>
      <c r="F14" s="22">
        <f>$C$4/D14-1</f>
        <v>3.47100390394975</v>
      </c>
      <c r="G14" s="22">
        <f>LN($C$4/D14)/(2026.41-B14)</f>
        <v>0.0509218963081589</v>
      </c>
      <c r="H14" s="50" t="s">
        <v>27</v>
      </c>
    </row>
    <row r="15" spans="1:8">
      <c r="A15" s="30">
        <v>1998</v>
      </c>
      <c r="B15" s="31">
        <v>1998</v>
      </c>
      <c r="C15" s="32" t="s">
        <v>26</v>
      </c>
      <c r="D15" s="33">
        <v>1194.1</v>
      </c>
      <c r="E15" s="47">
        <f t="shared" si="0"/>
        <v>28.4100000000001</v>
      </c>
      <c r="F15" s="48">
        <f>$C$4/D15-1</f>
        <v>2.43354827903861</v>
      </c>
      <c r="G15" s="48">
        <f>LN($C$4/D15)/(2026.41-B15)</f>
        <v>0.0434211267213325</v>
      </c>
      <c r="H15" s="49" t="s">
        <v>27</v>
      </c>
    </row>
    <row r="16" spans="1:8">
      <c r="A16" s="34">
        <v>1999</v>
      </c>
      <c r="B16" s="13">
        <v>1999</v>
      </c>
      <c r="C16" s="35" t="s">
        <v>26</v>
      </c>
      <c r="D16" s="14">
        <v>1146.7</v>
      </c>
      <c r="E16" s="15">
        <f t="shared" si="0"/>
        <v>27.4100000000001</v>
      </c>
      <c r="F16" s="22">
        <f>$C$4/D16-1</f>
        <v>2.57547745705067</v>
      </c>
      <c r="G16" s="22">
        <f>LN($C$4/D16)/(2026.41-B16)</f>
        <v>0.0464829887503881</v>
      </c>
      <c r="H16" s="50" t="s">
        <v>27</v>
      </c>
    </row>
    <row r="17" spans="1:8">
      <c r="A17" s="30">
        <v>2000</v>
      </c>
      <c r="B17" s="31">
        <v>2000</v>
      </c>
      <c r="C17" s="32" t="s">
        <v>26</v>
      </c>
      <c r="D17" s="33">
        <v>1366.58</v>
      </c>
      <c r="E17" s="47">
        <f t="shared" si="0"/>
        <v>26.4100000000001</v>
      </c>
      <c r="F17" s="48">
        <f>$C$4/D17-1</f>
        <v>2.00019025596745</v>
      </c>
      <c r="G17" s="48">
        <f>LN($C$4/D17)/(2026.41-B17)</f>
        <v>0.0416007461307476</v>
      </c>
      <c r="H17" s="49" t="s">
        <v>27</v>
      </c>
    </row>
    <row r="18" spans="1:8">
      <c r="A18" s="34">
        <v>2001</v>
      </c>
      <c r="B18" s="13">
        <v>2001</v>
      </c>
      <c r="C18" s="35" t="s">
        <v>26</v>
      </c>
      <c r="D18" s="14">
        <v>2073.48</v>
      </c>
      <c r="E18" s="15">
        <f t="shared" si="0"/>
        <v>25.4100000000001</v>
      </c>
      <c r="F18" s="22">
        <f>$C$4/D18-1</f>
        <v>0.977352084418466</v>
      </c>
      <c r="G18" s="22">
        <f>LN($C$4/D18)/(2026.41-B18)</f>
        <v>0.0268303273742372</v>
      </c>
      <c r="H18" s="50" t="s">
        <v>27</v>
      </c>
    </row>
    <row r="19" spans="1:8">
      <c r="A19" s="30">
        <v>2002</v>
      </c>
      <c r="B19" s="31">
        <v>2002</v>
      </c>
      <c r="C19" s="32" t="s">
        <v>26</v>
      </c>
      <c r="D19" s="33">
        <v>1645.97</v>
      </c>
      <c r="E19" s="47">
        <f t="shared" si="0"/>
        <v>24.4100000000001</v>
      </c>
      <c r="F19" s="48">
        <f>$C$4/D19-1</f>
        <v>1.49093239852488</v>
      </c>
      <c r="G19" s="48">
        <f>LN($C$4/D19)/(2026.41-B19)</f>
        <v>0.0373886561910654</v>
      </c>
      <c r="H19" s="49" t="s">
        <v>27</v>
      </c>
    </row>
    <row r="20" spans="1:8">
      <c r="A20" s="34">
        <v>2003</v>
      </c>
      <c r="B20" s="13">
        <v>2003</v>
      </c>
      <c r="C20" s="35" t="s">
        <v>26</v>
      </c>
      <c r="D20" s="14">
        <v>1357.65</v>
      </c>
      <c r="E20" s="15">
        <f t="shared" si="0"/>
        <v>23.4100000000001</v>
      </c>
      <c r="F20" s="22">
        <f>$C$4/D20-1</f>
        <v>2.01992413361323</v>
      </c>
      <c r="G20" s="22">
        <f>LN($C$4/D20)/(2026.41-B20)</f>
        <v>0.0472119483020549</v>
      </c>
      <c r="H20" s="50" t="s">
        <v>27</v>
      </c>
    </row>
    <row r="21" spans="1:8">
      <c r="A21" s="30">
        <v>2004</v>
      </c>
      <c r="B21" s="31">
        <v>2004</v>
      </c>
      <c r="C21" s="32" t="s">
        <v>26</v>
      </c>
      <c r="D21" s="33">
        <v>1497.04</v>
      </c>
      <c r="E21" s="47">
        <f t="shared" si="0"/>
        <v>22.4100000000001</v>
      </c>
      <c r="F21" s="48">
        <f>$C$4/D21-1</f>
        <v>1.73873777587773</v>
      </c>
      <c r="G21" s="48">
        <f>LN($C$4/D21)/(2026.41-B21)</f>
        <v>0.0449574809693379</v>
      </c>
      <c r="H21" s="49" t="s">
        <v>27</v>
      </c>
    </row>
    <row r="22" spans="1:8">
      <c r="A22" s="34">
        <v>2005</v>
      </c>
      <c r="B22" s="13">
        <v>2005</v>
      </c>
      <c r="C22" s="35" t="s">
        <v>26</v>
      </c>
      <c r="D22" s="14">
        <v>1266.5</v>
      </c>
      <c r="E22" s="15">
        <f t="shared" si="0"/>
        <v>21.4100000000001</v>
      </c>
      <c r="F22" s="22">
        <f>$C$4/D22-1</f>
        <v>2.23726806158705</v>
      </c>
      <c r="G22" s="22">
        <f>LN($C$4/D22)/(2026.41-B22)</f>
        <v>0.0548682757239918</v>
      </c>
      <c r="H22" s="50" t="s">
        <v>27</v>
      </c>
    </row>
    <row r="23" spans="1:8">
      <c r="A23" s="42">
        <v>2007</v>
      </c>
      <c r="B23" s="43">
        <v>2007</v>
      </c>
      <c r="C23" s="44" t="s">
        <v>28</v>
      </c>
      <c r="D23" s="45">
        <v>2450</v>
      </c>
      <c r="E23" s="55">
        <f t="shared" si="0"/>
        <v>19.4100000000001</v>
      </c>
      <c r="F23" s="56">
        <f>$C$3/D23-1</f>
        <v>1.23918367346939</v>
      </c>
      <c r="G23" s="56">
        <f>LN($C$3/D23)/(2026.41-B23)</f>
        <v>0.0415307247789167</v>
      </c>
      <c r="H23" s="57" t="s">
        <v>29</v>
      </c>
    </row>
    <row r="24" spans="1:8">
      <c r="A24" s="42">
        <v>2008</v>
      </c>
      <c r="B24" s="43">
        <v>2008</v>
      </c>
      <c r="C24" s="44" t="s">
        <v>28</v>
      </c>
      <c r="D24" s="45">
        <v>5050</v>
      </c>
      <c r="E24" s="55">
        <f t="shared" si="0"/>
        <v>18.4100000000001</v>
      </c>
      <c r="F24" s="56">
        <f>$C$3/D24-1</f>
        <v>0.0863366336633664</v>
      </c>
      <c r="G24" s="56">
        <f>LN($C$3/D24)/(2026.41-B24)</f>
        <v>0.00449816128344067</v>
      </c>
      <c r="H24" s="57" t="s">
        <v>30</v>
      </c>
    </row>
    <row r="25" spans="1:8">
      <c r="A25" s="42">
        <v>2009</v>
      </c>
      <c r="B25" s="43">
        <v>2009</v>
      </c>
      <c r="C25" s="44" t="s">
        <v>28</v>
      </c>
      <c r="D25" s="45">
        <v>1900</v>
      </c>
      <c r="E25" s="55">
        <f t="shared" si="0"/>
        <v>17.4100000000001</v>
      </c>
      <c r="F25" s="56">
        <f>$C$3/D25-1</f>
        <v>1.88736842105263</v>
      </c>
      <c r="G25" s="56">
        <f>LN($C$3/D25)/(2026.41-B25)</f>
        <v>0.0609043943907531</v>
      </c>
      <c r="H25" s="57" t="s">
        <v>31</v>
      </c>
    </row>
    <row r="26" spans="1:8">
      <c r="A26" s="42">
        <v>2010</v>
      </c>
      <c r="B26" s="43">
        <v>2010</v>
      </c>
      <c r="C26" s="44" t="s">
        <v>28</v>
      </c>
      <c r="D26" s="45">
        <v>3550</v>
      </c>
      <c r="E26" s="55">
        <f t="shared" si="0"/>
        <v>16.4100000000001</v>
      </c>
      <c r="F26" s="56">
        <f>$C$3/D26-1</f>
        <v>0.545352112676056</v>
      </c>
      <c r="G26" s="56">
        <f>LN($C$3/D26)/(2026.41-B26)</f>
        <v>0.0265235703246852</v>
      </c>
      <c r="H26" s="57" t="s">
        <v>32</v>
      </c>
    </row>
    <row r="27" spans="1:8">
      <c r="A27" s="42">
        <v>2011</v>
      </c>
      <c r="B27" s="43">
        <v>2011</v>
      </c>
      <c r="C27" s="44" t="s">
        <v>28</v>
      </c>
      <c r="D27" s="45">
        <v>3050</v>
      </c>
      <c r="E27" s="55">
        <f t="shared" si="0"/>
        <v>15.4100000000001</v>
      </c>
      <c r="F27" s="56">
        <f>$C$3/D27-1</f>
        <v>0.798688524590164</v>
      </c>
      <c r="G27" s="56">
        <f>LN($C$3/D27)/(2026.41-B27)</f>
        <v>0.0380958988900771</v>
      </c>
      <c r="H27" s="57" t="s">
        <v>33</v>
      </c>
    </row>
    <row r="28" spans="1:8">
      <c r="A28" s="42">
        <v>2012</v>
      </c>
      <c r="B28" s="43">
        <v>2012</v>
      </c>
      <c r="C28" s="44" t="s">
        <v>28</v>
      </c>
      <c r="D28" s="45">
        <v>2500</v>
      </c>
      <c r="E28" s="55">
        <f t="shared" si="0"/>
        <v>14.4100000000001</v>
      </c>
      <c r="F28" s="56">
        <f>$C$3/D28-1</f>
        <v>1.1944</v>
      </c>
      <c r="G28" s="56">
        <f>LN($C$3/D28)/(2026.41-B28)</f>
        <v>0.0545391159362423</v>
      </c>
      <c r="H28" s="57" t="s">
        <v>34</v>
      </c>
    </row>
    <row r="29" spans="1:8">
      <c r="A29" s="42">
        <v>2013</v>
      </c>
      <c r="B29" s="43">
        <v>2013</v>
      </c>
      <c r="C29" s="44" t="s">
        <v>28</v>
      </c>
      <c r="D29" s="45">
        <v>2600</v>
      </c>
      <c r="E29" s="55">
        <f t="shared" si="0"/>
        <v>13.4100000000001</v>
      </c>
      <c r="F29" s="56">
        <f>$C$3/D29-1</f>
        <v>1.11</v>
      </c>
      <c r="G29" s="56">
        <f>LN($C$3/D29)/(2026.41-B29)</f>
        <v>0.0556814278514519</v>
      </c>
      <c r="H29" s="57" t="s">
        <v>35</v>
      </c>
    </row>
    <row r="30" spans="1:8">
      <c r="A30" s="42">
        <v>2014</v>
      </c>
      <c r="B30" s="43">
        <v>2014</v>
      </c>
      <c r="C30" s="44" t="s">
        <v>28</v>
      </c>
      <c r="D30" s="45">
        <v>2450</v>
      </c>
      <c r="E30" s="55">
        <f t="shared" si="0"/>
        <v>12.4100000000001</v>
      </c>
      <c r="F30" s="56">
        <f>$C$3/D30-1</f>
        <v>1.23918367346939</v>
      </c>
      <c r="G30" s="56">
        <f>LN($C$3/D30)/(2026.41-B30)</f>
        <v>0.064956596934631</v>
      </c>
      <c r="H30" s="57" t="s">
        <v>36</v>
      </c>
    </row>
    <row r="31" spans="1:8">
      <c r="A31" s="42">
        <v>2015</v>
      </c>
      <c r="B31" s="43">
        <v>2015</v>
      </c>
      <c r="C31" s="44" t="s">
        <v>28</v>
      </c>
      <c r="D31" s="45">
        <v>3500</v>
      </c>
      <c r="E31" s="55">
        <f t="shared" si="0"/>
        <v>11.4100000000001</v>
      </c>
      <c r="F31" s="56">
        <f>$C$3/D31-1</f>
        <v>0.567428571428571</v>
      </c>
      <c r="G31" s="56">
        <f>LN($C$3/D31)/(2026.41-B31)</f>
        <v>0.0393896953567082</v>
      </c>
      <c r="H31" s="57" t="s">
        <v>37</v>
      </c>
    </row>
    <row r="32" spans="1:8">
      <c r="A32" s="42">
        <v>2016</v>
      </c>
      <c r="B32" s="43">
        <v>2016</v>
      </c>
      <c r="C32" s="44" t="s">
        <v>28</v>
      </c>
      <c r="D32" s="45">
        <v>4050</v>
      </c>
      <c r="E32" s="55">
        <f t="shared" si="0"/>
        <v>10.4100000000001</v>
      </c>
      <c r="F32" s="56">
        <f>$C$3/D32-1</f>
        <v>0.354567901234568</v>
      </c>
      <c r="G32" s="56">
        <f>LN($C$3/D32)/(2026.41-B32)</f>
        <v>0.0291529790006687</v>
      </c>
      <c r="H32" s="57" t="s">
        <v>38</v>
      </c>
    </row>
    <row r="33" spans="1:8">
      <c r="A33" s="42">
        <v>2017</v>
      </c>
      <c r="B33" s="43">
        <v>2017</v>
      </c>
      <c r="C33" s="44" t="s">
        <v>28</v>
      </c>
      <c r="D33" s="45">
        <v>4000</v>
      </c>
      <c r="E33" s="55">
        <f t="shared" si="0"/>
        <v>9.41000000000008</v>
      </c>
      <c r="F33" s="56">
        <f>$C$3/D33-1</f>
        <v>0.3715</v>
      </c>
      <c r="G33" s="56">
        <f>LN($C$3/D33)/(2026.41-B33)</f>
        <v>0.0335712041865588</v>
      </c>
      <c r="H33" s="57" t="s">
        <v>39</v>
      </c>
    </row>
    <row r="34" spans="1:8">
      <c r="A34" s="42">
        <v>2018</v>
      </c>
      <c r="B34" s="43">
        <v>2018</v>
      </c>
      <c r="C34" s="44" t="s">
        <v>28</v>
      </c>
      <c r="D34" s="45">
        <v>4700</v>
      </c>
      <c r="E34" s="55">
        <f t="shared" si="0"/>
        <v>8.41000000000008</v>
      </c>
      <c r="F34" s="56">
        <f>$C$3/D34-1</f>
        <v>0.167234042553192</v>
      </c>
      <c r="G34" s="56">
        <f>LN($C$3/D34)/(2026.41-B34)</f>
        <v>0.0183872632341733</v>
      </c>
      <c r="H34" s="57" t="s">
        <v>40</v>
      </c>
    </row>
    <row r="35" spans="1:8">
      <c r="A35" s="42">
        <v>2019</v>
      </c>
      <c r="B35" s="43">
        <v>2019</v>
      </c>
      <c r="C35" s="44" t="s">
        <v>28</v>
      </c>
      <c r="D35" s="45">
        <v>3350</v>
      </c>
      <c r="E35" s="55">
        <f t="shared" si="0"/>
        <v>7.41000000000008</v>
      </c>
      <c r="F35" s="56">
        <f>$C$3/D35-1</f>
        <v>0.637611940298507</v>
      </c>
      <c r="G35" s="56">
        <f>LN($C$3/D35)/(2026.41-B35)</f>
        <v>0.0665639739107194</v>
      </c>
      <c r="H35" s="57" t="s">
        <v>41</v>
      </c>
    </row>
    <row r="36" spans="1:8">
      <c r="A36" s="42">
        <v>2020</v>
      </c>
      <c r="B36" s="43">
        <v>2020</v>
      </c>
      <c r="C36" s="44" t="s">
        <v>28</v>
      </c>
      <c r="D36" s="45">
        <v>4000</v>
      </c>
      <c r="E36" s="55">
        <f t="shared" si="0"/>
        <v>6.41000000000008</v>
      </c>
      <c r="F36" s="56">
        <f>$C$3/D36-1</f>
        <v>0.3715</v>
      </c>
      <c r="G36" s="56">
        <f>LN($C$3/D36)/(2026.41-B36)</f>
        <v>0.0492831562239496</v>
      </c>
      <c r="H36" s="57" t="s">
        <v>42</v>
      </c>
    </row>
    <row r="37" spans="1:8">
      <c r="A37" s="42">
        <v>2021</v>
      </c>
      <c r="B37" s="43">
        <v>2021</v>
      </c>
      <c r="C37" s="44" t="s">
        <v>28</v>
      </c>
      <c r="D37" s="45">
        <v>5050</v>
      </c>
      <c r="E37" s="55">
        <f t="shared" si="0"/>
        <v>5.41000000000008</v>
      </c>
      <c r="F37" s="56">
        <f>$C$3/D37-1</f>
        <v>0.0863366336633664</v>
      </c>
      <c r="G37" s="56">
        <f>LN($C$3/D37)/(2026.41-B37)</f>
        <v>0.0153070516133349</v>
      </c>
      <c r="H37" s="57" t="s">
        <v>43</v>
      </c>
    </row>
    <row r="38" spans="1:8">
      <c r="A38" s="42">
        <v>2022</v>
      </c>
      <c r="B38" s="43">
        <v>2022</v>
      </c>
      <c r="C38" s="44" t="s">
        <v>28</v>
      </c>
      <c r="D38" s="45">
        <v>5400</v>
      </c>
      <c r="E38" s="55">
        <f t="shared" si="0"/>
        <v>4.41000000000008</v>
      </c>
      <c r="F38" s="56">
        <f>$C$3/D38-1</f>
        <v>0.0159259259259259</v>
      </c>
      <c r="G38" s="56">
        <f>LN($C$3/D38)/(2026.41-B38)</f>
        <v>0.00358286597396428</v>
      </c>
      <c r="H38" s="57" t="s">
        <v>44</v>
      </c>
    </row>
    <row r="39" spans="1:8">
      <c r="A39" s="42">
        <v>2023</v>
      </c>
      <c r="B39" s="43">
        <v>2023</v>
      </c>
      <c r="C39" s="44" t="s">
        <v>28</v>
      </c>
      <c r="D39" s="45">
        <v>4350</v>
      </c>
      <c r="E39" s="55">
        <f t="shared" si="0"/>
        <v>3.41000000000008</v>
      </c>
      <c r="F39" s="56">
        <f>$C$3/D39-1</f>
        <v>0.261149425287356</v>
      </c>
      <c r="G39" s="56">
        <f>LN($C$3/D39)/(2026.41-B39)</f>
        <v>0.0680420960160742</v>
      </c>
      <c r="H39" s="57" t="s">
        <v>45</v>
      </c>
    </row>
    <row r="40" spans="1:8">
      <c r="A40" s="42">
        <v>2024</v>
      </c>
      <c r="B40" s="43">
        <v>2024</v>
      </c>
      <c r="C40" s="44" t="s">
        <v>28</v>
      </c>
      <c r="D40" s="45">
        <v>3950</v>
      </c>
      <c r="E40" s="55">
        <f t="shared" si="0"/>
        <v>2.41000000000008</v>
      </c>
      <c r="F40" s="56">
        <f>$C$3/D40-1</f>
        <v>0.388860759493671</v>
      </c>
      <c r="G40" s="56">
        <f>LN($C$3/D40)/(2026.41-B40)</f>
        <v>0.136300337594344</v>
      </c>
      <c r="H40" s="57" t="s">
        <v>46</v>
      </c>
    </row>
    <row r="41" spans="1:8">
      <c r="A41" s="42">
        <v>2025</v>
      </c>
      <c r="B41" s="43">
        <v>2025</v>
      </c>
      <c r="C41" s="44" t="s">
        <v>28</v>
      </c>
      <c r="D41" s="45">
        <v>4050</v>
      </c>
      <c r="E41" s="55">
        <f t="shared" si="0"/>
        <v>1.41000000000008</v>
      </c>
      <c r="F41" s="56">
        <f>$C$3/D41-1</f>
        <v>0.354567901234568</v>
      </c>
      <c r="G41" s="56">
        <f>LN($C$3/D41)/(2026.41-B41)</f>
        <v>0.215235823685777</v>
      </c>
      <c r="H41" s="57" t="s">
        <v>47</v>
      </c>
    </row>
    <row r="42" spans="1:8">
      <c r="A42" s="42">
        <v>2026</v>
      </c>
      <c r="B42" s="43">
        <v>2026</v>
      </c>
      <c r="C42" s="44" t="s">
        <v>28</v>
      </c>
      <c r="D42" s="45">
        <v>5350</v>
      </c>
      <c r="E42" s="55">
        <f t="shared" si="0"/>
        <v>0.410000000000082</v>
      </c>
      <c r="F42" s="56">
        <f>$C$3/D42-1</f>
        <v>0.0254205607476636</v>
      </c>
      <c r="G42" s="56">
        <f>LN($C$3/D42)/(2026.41-B42)</f>
        <v>0.061226418554857</v>
      </c>
      <c r="H42" s="57" t="s">
        <v>48</v>
      </c>
    </row>
    <row r="43" spans="1:8">
      <c r="A43" s="4" t="s">
        <v>49</v>
      </c>
      <c r="B43" s="5">
        <v>2026.41</v>
      </c>
      <c r="C43" s="37" t="s">
        <v>28</v>
      </c>
      <c r="D43" s="6">
        <v>5485.86</v>
      </c>
      <c r="E43" s="7">
        <f t="shared" si="0"/>
        <v>0</v>
      </c>
      <c r="F43" s="21" t="s">
        <v>50</v>
      </c>
      <c r="G43" s="21" t="s">
        <v>50</v>
      </c>
      <c r="H43" s="51" t="s">
        <v>51</v>
      </c>
    </row>
    <row r="45" ht="15" customHeight="1" spans="4:8">
      <c r="D45" s="16" t="s">
        <v>52</v>
      </c>
      <c r="E45" s="16"/>
      <c r="F45" s="16"/>
      <c r="G45" s="16"/>
      <c r="H45" s="16"/>
    </row>
    <row r="46" ht="15" customHeight="1" spans="4:8">
      <c r="D46" s="16" t="s">
        <v>53</v>
      </c>
      <c r="E46" s="16"/>
      <c r="F46" s="16"/>
      <c r="G46" s="16"/>
      <c r="H46" s="16"/>
    </row>
  </sheetData>
  <mergeCells count="6">
    <mergeCell ref="A1:H1"/>
    <mergeCell ref="A2:H2"/>
    <mergeCell ref="D3:H3"/>
    <mergeCell ref="D4:H4"/>
    <mergeCell ref="D45:H45"/>
    <mergeCell ref="D46:H46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showGridLines="0" topLeftCell="A11" workbookViewId="0">
      <selection activeCell="J44" sqref="J44"/>
    </sheetView>
  </sheetViews>
  <sheetFormatPr defaultColWidth="8.6796875" defaultRowHeight="16.8" outlineLevelCol="7"/>
  <cols>
    <col min="1" max="1" width="9" customWidth="1"/>
    <col min="2" max="2" width="10" customWidth="1"/>
    <col min="3" max="4" width="12" customWidth="1"/>
    <col min="5" max="5" width="9" customWidth="1"/>
    <col min="6" max="6" width="13" customWidth="1"/>
    <col min="7" max="7" width="14" customWidth="1"/>
    <col min="8" max="8" width="26" customWidth="1"/>
  </cols>
  <sheetData>
    <row r="1" ht="22" spans="1:8">
      <c r="A1" s="25" t="s">
        <v>54</v>
      </c>
      <c r="B1" s="25"/>
      <c r="C1" s="25"/>
      <c r="D1" s="25"/>
      <c r="E1" s="25"/>
      <c r="F1" s="25"/>
      <c r="G1" s="25"/>
      <c r="H1" s="25"/>
    </row>
    <row r="2" spans="1:8">
      <c r="A2" s="2" t="s">
        <v>13</v>
      </c>
      <c r="B2" s="2"/>
      <c r="C2" s="2"/>
      <c r="D2" s="2"/>
      <c r="E2" s="2"/>
      <c r="F2" s="2"/>
      <c r="G2" s="2"/>
      <c r="H2" s="2"/>
    </row>
    <row r="3" spans="1:8">
      <c r="A3" s="26" t="s">
        <v>55</v>
      </c>
      <c r="C3" s="27">
        <v>6100</v>
      </c>
      <c r="D3" s="28" t="s">
        <v>15</v>
      </c>
      <c r="E3" s="28"/>
      <c r="F3" s="28"/>
      <c r="G3" s="28"/>
      <c r="H3" s="28"/>
    </row>
    <row r="4" spans="1:8">
      <c r="A4" s="26" t="s">
        <v>16</v>
      </c>
      <c r="C4" s="27">
        <v>4100</v>
      </c>
      <c r="D4" s="28" t="s">
        <v>17</v>
      </c>
      <c r="E4" s="28"/>
      <c r="F4" s="28"/>
      <c r="G4" s="28"/>
      <c r="H4" s="28"/>
    </row>
    <row r="6" ht="30" customHeight="1" spans="1:8">
      <c r="A6" s="3" t="s">
        <v>18</v>
      </c>
      <c r="B6" s="3" t="s">
        <v>19</v>
      </c>
      <c r="C6" s="3" t="s">
        <v>20</v>
      </c>
      <c r="D6" s="29" t="s">
        <v>21</v>
      </c>
      <c r="E6" s="3" t="s">
        <v>22</v>
      </c>
      <c r="F6" s="3" t="s">
        <v>23</v>
      </c>
      <c r="G6" s="3" t="s">
        <v>24</v>
      </c>
      <c r="H6" s="3" t="s">
        <v>25</v>
      </c>
    </row>
    <row r="7" spans="1:8">
      <c r="A7" s="30">
        <v>1990</v>
      </c>
      <c r="B7" s="31">
        <v>1990</v>
      </c>
      <c r="C7" s="32" t="s">
        <v>26</v>
      </c>
      <c r="D7" s="33">
        <v>96.05</v>
      </c>
      <c r="E7" s="47">
        <f t="shared" ref="E7:E45" si="0">2026.41-B7</f>
        <v>36.4100000000001</v>
      </c>
      <c r="F7" s="48">
        <f>$C$4/D7-1</f>
        <v>41.6861009890682</v>
      </c>
      <c r="G7" s="48">
        <f>LN($C$4/D7)/(2026.41-B7)</f>
        <v>0.103100064912876</v>
      </c>
      <c r="H7" s="49" t="s">
        <v>27</v>
      </c>
    </row>
    <row r="8" spans="1:8">
      <c r="A8" s="34">
        <v>1991</v>
      </c>
      <c r="B8" s="13">
        <v>1991</v>
      </c>
      <c r="C8" s="35" t="s">
        <v>26</v>
      </c>
      <c r="D8" s="14">
        <v>127.61</v>
      </c>
      <c r="E8" s="15">
        <f t="shared" si="0"/>
        <v>35.4100000000001</v>
      </c>
      <c r="F8" s="22">
        <f>$C$4/D8-1</f>
        <v>31.129143484053</v>
      </c>
      <c r="G8" s="22">
        <f>LN($C$4/D8)/(2026.41-B8)</f>
        <v>0.0979882382080346</v>
      </c>
      <c r="H8" s="50" t="s">
        <v>27</v>
      </c>
    </row>
    <row r="9" spans="1:8">
      <c r="A9" s="30">
        <v>1992</v>
      </c>
      <c r="B9" s="31">
        <v>1992</v>
      </c>
      <c r="C9" s="32" t="s">
        <v>26</v>
      </c>
      <c r="D9" s="33">
        <v>292.75</v>
      </c>
      <c r="E9" s="47">
        <f t="shared" si="0"/>
        <v>34.4100000000001</v>
      </c>
      <c r="F9" s="48">
        <f>$C$4/D9-1</f>
        <v>13.0051238257899</v>
      </c>
      <c r="G9" s="48">
        <f>LN($C$4/D9)/(2026.41-B9)</f>
        <v>0.076705122063777</v>
      </c>
      <c r="H9" s="49" t="s">
        <v>27</v>
      </c>
    </row>
    <row r="10" spans="1:8">
      <c r="A10" s="34">
        <v>1993</v>
      </c>
      <c r="B10" s="13">
        <v>1993</v>
      </c>
      <c r="C10" s="35" t="s">
        <v>26</v>
      </c>
      <c r="D10" s="14">
        <v>780.39</v>
      </c>
      <c r="E10" s="15">
        <f t="shared" si="0"/>
        <v>33.4100000000001</v>
      </c>
      <c r="F10" s="22">
        <f>$C$4/D10-1</f>
        <v>4.25378336472789</v>
      </c>
      <c r="G10" s="22">
        <f>LN($C$4/D10)/(2026.41-B10)</f>
        <v>0.0496542489663905</v>
      </c>
      <c r="H10" s="50" t="s">
        <v>27</v>
      </c>
    </row>
    <row r="11" spans="1:8">
      <c r="A11" s="30">
        <v>1994</v>
      </c>
      <c r="B11" s="31">
        <v>1994</v>
      </c>
      <c r="C11" s="32" t="s">
        <v>26</v>
      </c>
      <c r="D11" s="33">
        <v>833.8</v>
      </c>
      <c r="E11" s="47">
        <f t="shared" si="0"/>
        <v>32.4100000000001</v>
      </c>
      <c r="F11" s="48">
        <f>$C$4/D11-1</f>
        <v>3.91724634204845</v>
      </c>
      <c r="G11" s="48">
        <f>LN($C$4/D11)/(2026.41-B11)</f>
        <v>0.049143742278485</v>
      </c>
      <c r="H11" s="49" t="s">
        <v>27</v>
      </c>
    </row>
    <row r="12" spans="1:8">
      <c r="A12" s="34">
        <v>1995</v>
      </c>
      <c r="B12" s="13">
        <v>1995</v>
      </c>
      <c r="C12" s="35" t="s">
        <v>26</v>
      </c>
      <c r="D12" s="14">
        <v>647.87</v>
      </c>
      <c r="E12" s="15">
        <f t="shared" si="0"/>
        <v>31.4100000000001</v>
      </c>
      <c r="F12" s="22">
        <f>$C$4/D12-1</f>
        <v>5.32843008628274</v>
      </c>
      <c r="G12" s="22">
        <f>LN($C$4/D12)/(2026.41-B12)</f>
        <v>0.0587409167064759</v>
      </c>
      <c r="H12" s="50" t="s">
        <v>27</v>
      </c>
    </row>
    <row r="13" spans="1:8">
      <c r="A13" s="30">
        <v>1996</v>
      </c>
      <c r="B13" s="31">
        <v>1996</v>
      </c>
      <c r="C13" s="32" t="s">
        <v>26</v>
      </c>
      <c r="D13" s="33">
        <v>555.29</v>
      </c>
      <c r="E13" s="47">
        <f t="shared" si="0"/>
        <v>30.4100000000001</v>
      </c>
      <c r="F13" s="48">
        <f>$C$4/D13-1</f>
        <v>6.38352932701831</v>
      </c>
      <c r="G13" s="48">
        <f>LN($C$4/D13)/(2026.41-B13)</f>
        <v>0.0657432342285694</v>
      </c>
      <c r="H13" s="49" t="s">
        <v>27</v>
      </c>
    </row>
    <row r="14" spans="1:8">
      <c r="A14" s="34">
        <v>1997</v>
      </c>
      <c r="B14" s="13">
        <v>1997</v>
      </c>
      <c r="C14" s="35" t="s">
        <v>26</v>
      </c>
      <c r="D14" s="14">
        <v>917.02</v>
      </c>
      <c r="E14" s="15">
        <f t="shared" si="0"/>
        <v>29.4100000000001</v>
      </c>
      <c r="F14" s="22">
        <f>$C$4/D14-1</f>
        <v>3.47100390394975</v>
      </c>
      <c r="G14" s="22">
        <f>LN($C$4/D14)/(2026.41-B14)</f>
        <v>0.0509218963081589</v>
      </c>
      <c r="H14" s="50" t="s">
        <v>27</v>
      </c>
    </row>
    <row r="15" spans="1:8">
      <c r="A15" s="30">
        <v>1998</v>
      </c>
      <c r="B15" s="31">
        <v>1998</v>
      </c>
      <c r="C15" s="32" t="s">
        <v>26</v>
      </c>
      <c r="D15" s="33">
        <v>1194.1</v>
      </c>
      <c r="E15" s="47">
        <f t="shared" si="0"/>
        <v>28.4100000000001</v>
      </c>
      <c r="F15" s="48">
        <f>$C$4/D15-1</f>
        <v>2.43354827903861</v>
      </c>
      <c r="G15" s="48">
        <f>LN($C$4/D15)/(2026.41-B15)</f>
        <v>0.0434211267213325</v>
      </c>
      <c r="H15" s="49" t="s">
        <v>27</v>
      </c>
    </row>
    <row r="16" spans="1:8">
      <c r="A16" s="34">
        <v>1999</v>
      </c>
      <c r="B16" s="13">
        <v>1999</v>
      </c>
      <c r="C16" s="35" t="s">
        <v>26</v>
      </c>
      <c r="D16" s="14">
        <v>1146.7</v>
      </c>
      <c r="E16" s="15">
        <f t="shared" si="0"/>
        <v>27.4100000000001</v>
      </c>
      <c r="F16" s="22">
        <f>$C$4/D16-1</f>
        <v>2.57547745705067</v>
      </c>
      <c r="G16" s="22">
        <f>LN($C$4/D16)/(2026.41-B16)</f>
        <v>0.0464829887503881</v>
      </c>
      <c r="H16" s="50" t="s">
        <v>27</v>
      </c>
    </row>
    <row r="17" spans="1:8">
      <c r="A17" s="30">
        <v>2000</v>
      </c>
      <c r="B17" s="31">
        <v>2000</v>
      </c>
      <c r="C17" s="32" t="s">
        <v>26</v>
      </c>
      <c r="D17" s="33">
        <v>1366.58</v>
      </c>
      <c r="E17" s="47">
        <f t="shared" si="0"/>
        <v>26.4100000000001</v>
      </c>
      <c r="F17" s="48">
        <f>$C$4/D17-1</f>
        <v>2.00019025596745</v>
      </c>
      <c r="G17" s="48">
        <f>LN($C$4/D17)/(2026.41-B17)</f>
        <v>0.0416007461307476</v>
      </c>
      <c r="H17" s="49" t="s">
        <v>27</v>
      </c>
    </row>
    <row r="18" spans="1:8">
      <c r="A18" s="34">
        <v>2001</v>
      </c>
      <c r="B18" s="13">
        <v>2001</v>
      </c>
      <c r="C18" s="35" t="s">
        <v>26</v>
      </c>
      <c r="D18" s="14">
        <v>2073.48</v>
      </c>
      <c r="E18" s="15">
        <f t="shared" si="0"/>
        <v>25.4100000000001</v>
      </c>
      <c r="F18" s="22">
        <f>$C$4/D18-1</f>
        <v>0.977352084418466</v>
      </c>
      <c r="G18" s="22">
        <f>LN($C$4/D18)/(2026.41-B18)</f>
        <v>0.0268303273742372</v>
      </c>
      <c r="H18" s="50" t="s">
        <v>27</v>
      </c>
    </row>
    <row r="19" spans="1:8">
      <c r="A19" s="30">
        <v>2002</v>
      </c>
      <c r="B19" s="31">
        <v>2002</v>
      </c>
      <c r="C19" s="32" t="s">
        <v>26</v>
      </c>
      <c r="D19" s="33">
        <v>1645.97</v>
      </c>
      <c r="E19" s="47">
        <f t="shared" si="0"/>
        <v>24.4100000000001</v>
      </c>
      <c r="F19" s="48">
        <f>$C$4/D19-1</f>
        <v>1.49093239852488</v>
      </c>
      <c r="G19" s="48">
        <f>LN($C$4/D19)/(2026.41-B19)</f>
        <v>0.0373886561910654</v>
      </c>
      <c r="H19" s="49" t="s">
        <v>27</v>
      </c>
    </row>
    <row r="20" spans="1:8">
      <c r="A20" s="34">
        <v>2003</v>
      </c>
      <c r="B20" s="13">
        <v>2003</v>
      </c>
      <c r="C20" s="35" t="s">
        <v>26</v>
      </c>
      <c r="D20" s="14">
        <v>1357.65</v>
      </c>
      <c r="E20" s="15">
        <f t="shared" si="0"/>
        <v>23.4100000000001</v>
      </c>
      <c r="F20" s="22">
        <f>$C$4/D20-1</f>
        <v>2.01992413361323</v>
      </c>
      <c r="G20" s="22">
        <f>LN($C$4/D20)/(2026.41-B20)</f>
        <v>0.0472119483020549</v>
      </c>
      <c r="H20" s="50" t="s">
        <v>27</v>
      </c>
    </row>
    <row r="21" spans="1:8">
      <c r="A21" s="30">
        <v>2004</v>
      </c>
      <c r="B21" s="31">
        <v>2004</v>
      </c>
      <c r="C21" s="32" t="s">
        <v>26</v>
      </c>
      <c r="D21" s="33">
        <v>1497.04</v>
      </c>
      <c r="E21" s="47">
        <f t="shared" si="0"/>
        <v>22.4100000000001</v>
      </c>
      <c r="F21" s="48">
        <f>$C$4/D21-1</f>
        <v>1.73873777587773</v>
      </c>
      <c r="G21" s="48">
        <f>LN($C$4/D21)/(2026.41-B21)</f>
        <v>0.0449574809693379</v>
      </c>
      <c r="H21" s="49" t="s">
        <v>27</v>
      </c>
    </row>
    <row r="22" spans="1:8">
      <c r="A22" s="34">
        <v>2005</v>
      </c>
      <c r="B22" s="13">
        <v>2005</v>
      </c>
      <c r="C22" s="35" t="s">
        <v>26</v>
      </c>
      <c r="D22" s="14">
        <v>1266.5</v>
      </c>
      <c r="E22" s="15">
        <f t="shared" si="0"/>
        <v>21.4100000000001</v>
      </c>
      <c r="F22" s="22">
        <f>$C$4/D22-1</f>
        <v>2.23726806158705</v>
      </c>
      <c r="G22" s="22">
        <f>LN($C$4/D22)/(2026.41-B22)</f>
        <v>0.0548682757239918</v>
      </c>
      <c r="H22" s="50" t="s">
        <v>27</v>
      </c>
    </row>
    <row r="23" spans="1:8">
      <c r="A23" s="36">
        <v>2005</v>
      </c>
      <c r="B23" s="5">
        <v>2005</v>
      </c>
      <c r="C23" s="37" t="s">
        <v>56</v>
      </c>
      <c r="D23" s="6">
        <v>793</v>
      </c>
      <c r="E23" s="7">
        <f t="shared" si="0"/>
        <v>21.4100000000001</v>
      </c>
      <c r="F23" s="17">
        <f>$C$3/D23-1</f>
        <v>6.69230769230769</v>
      </c>
      <c r="G23" s="17">
        <f>LN($C$3/D23)/(2026.41-B23)</f>
        <v>0.095292892504743</v>
      </c>
      <c r="H23" s="51" t="s">
        <v>57</v>
      </c>
    </row>
    <row r="24" spans="1:8">
      <c r="A24" s="38">
        <v>2006</v>
      </c>
      <c r="B24" s="39">
        <v>2006</v>
      </c>
      <c r="C24" s="40" t="s">
        <v>56</v>
      </c>
      <c r="D24" s="41">
        <v>1050</v>
      </c>
      <c r="E24" s="52">
        <f t="shared" si="0"/>
        <v>20.4100000000001</v>
      </c>
      <c r="F24" s="53">
        <f>$C$3/D24-1</f>
        <v>4.80952380952381</v>
      </c>
      <c r="G24" s="53">
        <f>LN($C$3/D24)/(2026.41-B24)</f>
        <v>0.0862076730529067</v>
      </c>
      <c r="H24" s="54" t="s">
        <v>58</v>
      </c>
    </row>
    <row r="25" spans="1:8">
      <c r="A25" s="38">
        <v>2007</v>
      </c>
      <c r="B25" s="39">
        <v>2007</v>
      </c>
      <c r="C25" s="40" t="s">
        <v>56</v>
      </c>
      <c r="D25" s="41">
        <v>2600</v>
      </c>
      <c r="E25" s="52">
        <f t="shared" si="0"/>
        <v>19.4100000000001</v>
      </c>
      <c r="F25" s="53">
        <f>$C$3/D25-1</f>
        <v>1.34615384615385</v>
      </c>
      <c r="G25" s="53">
        <f>LN($C$3/D25)/(2026.41-B25)</f>
        <v>0.0439349472515109</v>
      </c>
      <c r="H25" s="54" t="s">
        <v>59</v>
      </c>
    </row>
    <row r="26" spans="1:8">
      <c r="A26" s="38">
        <v>2008</v>
      </c>
      <c r="B26" s="39">
        <v>2008</v>
      </c>
      <c r="C26" s="40" t="s">
        <v>56</v>
      </c>
      <c r="D26" s="41">
        <v>4900</v>
      </c>
      <c r="E26" s="52">
        <f t="shared" si="0"/>
        <v>18.4100000000001</v>
      </c>
      <c r="F26" s="53">
        <f>$C$3/D26-1</f>
        <v>0.244897959183674</v>
      </c>
      <c r="G26" s="53">
        <f>LN($C$3/D26)/(2026.41-B26)</f>
        <v>0.0118986184716287</v>
      </c>
      <c r="H26" s="54" t="s">
        <v>60</v>
      </c>
    </row>
    <row r="27" spans="1:8">
      <c r="A27" s="38">
        <v>2009</v>
      </c>
      <c r="B27" s="39">
        <v>2009</v>
      </c>
      <c r="C27" s="40" t="s">
        <v>56</v>
      </c>
      <c r="D27" s="41">
        <v>1850</v>
      </c>
      <c r="E27" s="52">
        <f t="shared" si="0"/>
        <v>17.4100000000001</v>
      </c>
      <c r="F27" s="53">
        <f>$C$3/D27-1</f>
        <v>2.2972972972973</v>
      </c>
      <c r="G27" s="53">
        <f>LN($C$3/D27)/(2026.41-B27)</f>
        <v>0.0685297606024714</v>
      </c>
      <c r="H27" s="54" t="s">
        <v>61</v>
      </c>
    </row>
    <row r="28" spans="1:8">
      <c r="A28" s="38">
        <v>2010</v>
      </c>
      <c r="B28" s="39">
        <v>2010</v>
      </c>
      <c r="C28" s="40" t="s">
        <v>56</v>
      </c>
      <c r="D28" s="41">
        <v>3500</v>
      </c>
      <c r="E28" s="52">
        <f t="shared" si="0"/>
        <v>16.4100000000001</v>
      </c>
      <c r="F28" s="53">
        <f>$C$3/D28-1</f>
        <v>0.742857142857143</v>
      </c>
      <c r="G28" s="53">
        <f>LN($C$3/D28)/(2026.41-B28)</f>
        <v>0.0338528825523397</v>
      </c>
      <c r="H28" s="54" t="s">
        <v>62</v>
      </c>
    </row>
    <row r="29" spans="1:8">
      <c r="A29" s="38">
        <v>2011</v>
      </c>
      <c r="B29" s="39">
        <v>2011</v>
      </c>
      <c r="C29" s="40" t="s">
        <v>56</v>
      </c>
      <c r="D29" s="41">
        <v>3050</v>
      </c>
      <c r="E29" s="52">
        <f t="shared" si="0"/>
        <v>15.4100000000001</v>
      </c>
      <c r="F29" s="53">
        <f>$C$3/D29-1</f>
        <v>1</v>
      </c>
      <c r="G29" s="53">
        <f>LN($C$3/D29)/(2026.41-B29)</f>
        <v>0.0449803491602817</v>
      </c>
      <c r="H29" s="54" t="s">
        <v>63</v>
      </c>
    </row>
    <row r="30" spans="1:8">
      <c r="A30" s="38">
        <v>2012</v>
      </c>
      <c r="B30" s="39">
        <v>2012</v>
      </c>
      <c r="C30" s="40" t="s">
        <v>56</v>
      </c>
      <c r="D30" s="41">
        <v>2450</v>
      </c>
      <c r="E30" s="52">
        <f t="shared" si="0"/>
        <v>14.4100000000001</v>
      </c>
      <c r="F30" s="53">
        <f>$C$3/D30-1</f>
        <v>1.48979591836735</v>
      </c>
      <c r="G30" s="53">
        <f>LN($C$3/D30)/(2026.41-B30)</f>
        <v>0.0633033134366846</v>
      </c>
      <c r="H30" s="54" t="s">
        <v>64</v>
      </c>
    </row>
    <row r="31" spans="1:8">
      <c r="A31" s="38">
        <v>2013</v>
      </c>
      <c r="B31" s="39">
        <v>2013</v>
      </c>
      <c r="C31" s="40" t="s">
        <v>56</v>
      </c>
      <c r="D31" s="41">
        <v>2600</v>
      </c>
      <c r="E31" s="52">
        <f t="shared" si="0"/>
        <v>13.4100000000001</v>
      </c>
      <c r="F31" s="53">
        <f>$C$3/D31-1</f>
        <v>1.34615384615385</v>
      </c>
      <c r="G31" s="53">
        <f>LN($C$3/D31)/(2026.41-B31)</f>
        <v>0.0635926417712024</v>
      </c>
      <c r="H31" s="54" t="s">
        <v>65</v>
      </c>
    </row>
    <row r="32" spans="1:8">
      <c r="A32" s="38">
        <v>2014</v>
      </c>
      <c r="B32" s="39">
        <v>2014</v>
      </c>
      <c r="C32" s="40" t="s">
        <v>56</v>
      </c>
      <c r="D32" s="41">
        <v>2550</v>
      </c>
      <c r="E32" s="52">
        <f t="shared" si="0"/>
        <v>12.4100000000001</v>
      </c>
      <c r="F32" s="53">
        <f>$C$3/D32-1</f>
        <v>1.3921568627451</v>
      </c>
      <c r="G32" s="53">
        <f>LN($C$3/D32)/(2026.41-B32)</f>
        <v>0.0702816609193332</v>
      </c>
      <c r="H32" s="54" t="s">
        <v>66</v>
      </c>
    </row>
    <row r="33" spans="1:8">
      <c r="A33" s="38">
        <v>2015</v>
      </c>
      <c r="B33" s="39">
        <v>2015</v>
      </c>
      <c r="C33" s="40" t="s">
        <v>56</v>
      </c>
      <c r="D33" s="41">
        <v>3700</v>
      </c>
      <c r="E33" s="52">
        <f t="shared" si="0"/>
        <v>11.4100000000001</v>
      </c>
      <c r="F33" s="53">
        <f>$C$3/D33-1</f>
        <v>0.648648648648649</v>
      </c>
      <c r="G33" s="53">
        <f>LN($C$3/D33)/(2026.41-B33)</f>
        <v>0.0438173489508399</v>
      </c>
      <c r="H33" s="54" t="s">
        <v>67</v>
      </c>
    </row>
    <row r="34" spans="1:8">
      <c r="A34" s="38">
        <v>2016</v>
      </c>
      <c r="B34" s="39">
        <v>2016</v>
      </c>
      <c r="C34" s="40" t="s">
        <v>56</v>
      </c>
      <c r="D34" s="41">
        <v>4050</v>
      </c>
      <c r="E34" s="52">
        <f t="shared" si="0"/>
        <v>10.4100000000001</v>
      </c>
      <c r="F34" s="53">
        <f>$C$3/D34-1</f>
        <v>0.506172839506173</v>
      </c>
      <c r="G34" s="53">
        <f>LN($C$3/D34)/(2026.41-B34)</f>
        <v>0.0393440816580994</v>
      </c>
      <c r="H34" s="54" t="s">
        <v>68</v>
      </c>
    </row>
    <row r="35" spans="1:8">
      <c r="A35" s="38">
        <v>2017</v>
      </c>
      <c r="B35" s="39">
        <v>2017</v>
      </c>
      <c r="C35" s="40" t="s">
        <v>56</v>
      </c>
      <c r="D35" s="41">
        <v>4150</v>
      </c>
      <c r="E35" s="52">
        <f t="shared" si="0"/>
        <v>9.41000000000008</v>
      </c>
      <c r="F35" s="53">
        <f>$C$3/D35-1</f>
        <v>0.469879518072289</v>
      </c>
      <c r="G35" s="53">
        <f>LN($C$3/D35)/(2026.41-B35)</f>
        <v>0.0409330963800909</v>
      </c>
      <c r="H35" s="54" t="s">
        <v>69</v>
      </c>
    </row>
    <row r="36" spans="1:8">
      <c r="A36" s="38">
        <v>2018</v>
      </c>
      <c r="B36" s="39">
        <v>2018</v>
      </c>
      <c r="C36" s="40" t="s">
        <v>56</v>
      </c>
      <c r="D36" s="41">
        <v>4750</v>
      </c>
      <c r="E36" s="52">
        <f t="shared" si="0"/>
        <v>8.41000000000008</v>
      </c>
      <c r="F36" s="53">
        <f>$C$3/D36-1</f>
        <v>0.284210526315789</v>
      </c>
      <c r="G36" s="53">
        <f>LN($C$3/D36)/(2026.41-B36)</f>
        <v>0.029743656733973</v>
      </c>
      <c r="H36" s="54" t="s">
        <v>70</v>
      </c>
    </row>
    <row r="37" spans="1:8">
      <c r="A37" s="38">
        <v>2019</v>
      </c>
      <c r="B37" s="39">
        <v>2019</v>
      </c>
      <c r="C37" s="40" t="s">
        <v>56</v>
      </c>
      <c r="D37" s="41">
        <v>3550</v>
      </c>
      <c r="E37" s="52">
        <f t="shared" si="0"/>
        <v>7.41000000000008</v>
      </c>
      <c r="F37" s="53">
        <f>$C$3/D37-1</f>
        <v>0.71830985915493</v>
      </c>
      <c r="G37" s="53">
        <f>LN($C$3/D37)/(2026.41-B37)</f>
        <v>0.0730554882175351</v>
      </c>
      <c r="H37" s="54" t="s">
        <v>71</v>
      </c>
    </row>
    <row r="38" spans="1:8">
      <c r="A38" s="38">
        <v>2020</v>
      </c>
      <c r="B38" s="39">
        <v>2020</v>
      </c>
      <c r="C38" s="40" t="s">
        <v>56</v>
      </c>
      <c r="D38" s="41">
        <v>4350</v>
      </c>
      <c r="E38" s="52">
        <f t="shared" si="0"/>
        <v>6.41000000000008</v>
      </c>
      <c r="F38" s="53">
        <f>$C$3/D38-1</f>
        <v>0.402298850574713</v>
      </c>
      <c r="G38" s="53">
        <f>LN($C$3/D38)/(2026.41-B38)</f>
        <v>0.0527477263773274</v>
      </c>
      <c r="H38" s="54" t="s">
        <v>72</v>
      </c>
    </row>
    <row r="39" spans="1:8">
      <c r="A39" s="38">
        <v>2021</v>
      </c>
      <c r="B39" s="39">
        <v>2021</v>
      </c>
      <c r="C39" s="40" t="s">
        <v>56</v>
      </c>
      <c r="D39" s="41">
        <v>5450</v>
      </c>
      <c r="E39" s="52">
        <f t="shared" si="0"/>
        <v>5.41000000000008</v>
      </c>
      <c r="F39" s="53">
        <f>$C$3/D39-1</f>
        <v>0.119266055045872</v>
      </c>
      <c r="G39" s="53">
        <f>LN($C$3/D39)/(2026.41-B39)</f>
        <v>0.0208268322558431</v>
      </c>
      <c r="H39" s="54" t="s">
        <v>73</v>
      </c>
    </row>
    <row r="40" spans="1:8">
      <c r="A40" s="38">
        <v>2022</v>
      </c>
      <c r="B40" s="39">
        <v>2022</v>
      </c>
      <c r="C40" s="40" t="s">
        <v>56</v>
      </c>
      <c r="D40" s="41">
        <v>5950</v>
      </c>
      <c r="E40" s="52">
        <f t="shared" si="0"/>
        <v>4.41000000000008</v>
      </c>
      <c r="F40" s="53">
        <f>$C$3/D40-1</f>
        <v>0.0252100840336134</v>
      </c>
      <c r="G40" s="53">
        <f>LN($C$3/D40)/(2026.41-B40)</f>
        <v>0.00564570331558427</v>
      </c>
      <c r="H40" s="54" t="s">
        <v>74</v>
      </c>
    </row>
    <row r="41" spans="1:8">
      <c r="A41" s="38">
        <v>2023</v>
      </c>
      <c r="B41" s="39">
        <v>2023</v>
      </c>
      <c r="C41" s="40" t="s">
        <v>56</v>
      </c>
      <c r="D41" s="41">
        <v>4750</v>
      </c>
      <c r="E41" s="52">
        <f t="shared" si="0"/>
        <v>3.41000000000008</v>
      </c>
      <c r="F41" s="53">
        <f>$C$3/D41-1</f>
        <v>0.284210526315789</v>
      </c>
      <c r="G41" s="53">
        <f>LN($C$3/D41)/(2026.41-B41)</f>
        <v>0.0733560566371583</v>
      </c>
      <c r="H41" s="54" t="s">
        <v>75</v>
      </c>
    </row>
    <row r="42" spans="1:8">
      <c r="A42" s="42">
        <v>2024</v>
      </c>
      <c r="B42" s="43">
        <v>2024</v>
      </c>
      <c r="C42" s="44" t="s">
        <v>56</v>
      </c>
      <c r="D42" s="45">
        <v>4150</v>
      </c>
      <c r="E42" s="55">
        <f t="shared" si="0"/>
        <v>2.41000000000008</v>
      </c>
      <c r="F42" s="56">
        <f>$C$3/D42-1</f>
        <v>0.469879518072289</v>
      </c>
      <c r="G42" s="56">
        <f>LN($C$3/D42)/(2026.41-B42)</f>
        <v>0.159825907442592</v>
      </c>
      <c r="H42" s="57" t="s">
        <v>76</v>
      </c>
    </row>
    <row r="43" spans="1:8">
      <c r="A43" s="42">
        <v>2025</v>
      </c>
      <c r="B43" s="43">
        <v>2025</v>
      </c>
      <c r="C43" s="44" t="s">
        <v>56</v>
      </c>
      <c r="D43" s="45">
        <v>4900</v>
      </c>
      <c r="E43" s="55">
        <f t="shared" si="0"/>
        <v>1.41000000000008</v>
      </c>
      <c r="F43" s="56">
        <f>$C$3/D43-1</f>
        <v>0.244897959183674</v>
      </c>
      <c r="G43" s="56">
        <f>LN($C$3/D43)/(2026.41-B43)</f>
        <v>0.15535713905154</v>
      </c>
      <c r="H43" s="57" t="s">
        <v>77</v>
      </c>
    </row>
    <row r="44" spans="1:8">
      <c r="A44" s="42">
        <v>2026</v>
      </c>
      <c r="B44" s="43">
        <v>2026</v>
      </c>
      <c r="C44" s="44" t="s">
        <v>56</v>
      </c>
      <c r="D44" s="45">
        <v>5950</v>
      </c>
      <c r="E44" s="55">
        <f t="shared" si="0"/>
        <v>0.410000000000082</v>
      </c>
      <c r="F44" s="56">
        <f>$C$3/D44-1</f>
        <v>0.0252100840336134</v>
      </c>
      <c r="G44" s="56">
        <f>LN($C$3/D44)/(2026.41-B44)</f>
        <v>0.0607257356627369</v>
      </c>
      <c r="H44" s="57" t="s">
        <v>78</v>
      </c>
    </row>
    <row r="45" spans="1:8">
      <c r="A45" s="4" t="s">
        <v>49</v>
      </c>
      <c r="B45" s="5">
        <v>2026.41</v>
      </c>
      <c r="C45" s="37" t="s">
        <v>56</v>
      </c>
      <c r="D45" s="6">
        <v>6100.14</v>
      </c>
      <c r="E45" s="7">
        <f t="shared" si="0"/>
        <v>0</v>
      </c>
      <c r="F45" s="21" t="s">
        <v>50</v>
      </c>
      <c r="G45" s="21" t="s">
        <v>50</v>
      </c>
      <c r="H45" s="51" t="s">
        <v>79</v>
      </c>
    </row>
    <row r="47" ht="15" customHeight="1" spans="4:8">
      <c r="D47" s="46" t="s">
        <v>80</v>
      </c>
      <c r="E47" s="46"/>
      <c r="F47" s="46"/>
      <c r="G47" s="46"/>
      <c r="H47" s="46"/>
    </row>
    <row r="48" ht="15" customHeight="1" spans="4:8">
      <c r="D48" s="16" t="s">
        <v>52</v>
      </c>
      <c r="E48" s="16"/>
      <c r="F48" s="16"/>
      <c r="G48" s="16"/>
      <c r="H48" s="16"/>
    </row>
    <row r="49" ht="15" customHeight="1" spans="4:8">
      <c r="D49" s="16" t="s">
        <v>53</v>
      </c>
      <c r="E49" s="16"/>
      <c r="F49" s="16"/>
      <c r="G49" s="16"/>
      <c r="H49" s="16"/>
    </row>
  </sheetData>
  <mergeCells count="7">
    <mergeCell ref="A1:H1"/>
    <mergeCell ref="A2:H2"/>
    <mergeCell ref="D3:H3"/>
    <mergeCell ref="D4:H4"/>
    <mergeCell ref="D47:H47"/>
    <mergeCell ref="D48:H48"/>
    <mergeCell ref="D49:H49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showGridLines="0" zoomScale="134" zoomScaleNormal="134" workbookViewId="0">
      <selection activeCell="C42" sqref="C42"/>
    </sheetView>
  </sheetViews>
  <sheetFormatPr defaultColWidth="8.6796875" defaultRowHeight="16.8" outlineLevelCol="6"/>
  <cols>
    <col min="1" max="1" width="24" customWidth="1"/>
    <col min="2" max="3" width="12" customWidth="1"/>
    <col min="4" max="4" width="10" customWidth="1"/>
    <col min="5" max="5" width="14" customWidth="1"/>
    <col min="6" max="7" width="16" customWidth="1"/>
  </cols>
  <sheetData>
    <row r="1" ht="22" spans="1:7">
      <c r="A1" s="1" t="s">
        <v>81</v>
      </c>
      <c r="B1" s="1"/>
      <c r="C1" s="1"/>
      <c r="D1" s="1"/>
      <c r="E1" s="1"/>
      <c r="F1" s="1"/>
      <c r="G1" s="1"/>
    </row>
    <row r="2" spans="1:7">
      <c r="A2" s="2" t="s">
        <v>82</v>
      </c>
      <c r="B2" s="2"/>
      <c r="C2" s="2"/>
      <c r="D2" s="2"/>
      <c r="E2" s="2"/>
      <c r="F2" s="2"/>
      <c r="G2" s="2"/>
    </row>
    <row r="4" ht="30" customHeight="1" spans="1:7">
      <c r="A4" s="3" t="s">
        <v>83</v>
      </c>
      <c r="B4" s="3" t="s">
        <v>84</v>
      </c>
      <c r="C4" s="3" t="s">
        <v>85</v>
      </c>
      <c r="D4" s="3" t="s">
        <v>22</v>
      </c>
      <c r="E4" s="3" t="s">
        <v>23</v>
      </c>
      <c r="F4" s="3" t="s">
        <v>24</v>
      </c>
      <c r="G4" s="3" t="s">
        <v>86</v>
      </c>
    </row>
    <row r="5" spans="1:7">
      <c r="A5" s="4" t="s">
        <v>87</v>
      </c>
      <c r="B5" s="5">
        <v>2008.8</v>
      </c>
      <c r="C5" s="6">
        <v>1567</v>
      </c>
      <c r="D5" s="7">
        <f t="shared" ref="D5:D14" si="0">2026.41-B5</f>
        <v>17.6100000000001</v>
      </c>
      <c r="E5" s="17">
        <f>5486/C5-1</f>
        <v>2.50095724313976</v>
      </c>
      <c r="F5" s="17">
        <f>LN(5486/C5)/(2026.41-B5)</f>
        <v>0.071154822779189</v>
      </c>
      <c r="G5" s="18" t="s">
        <v>88</v>
      </c>
    </row>
    <row r="6" spans="1:7">
      <c r="A6" s="8" t="s">
        <v>89</v>
      </c>
      <c r="B6" s="9">
        <v>2015.4</v>
      </c>
      <c r="C6" s="10">
        <v>6453</v>
      </c>
      <c r="D6" s="11">
        <f t="shared" si="0"/>
        <v>11.01</v>
      </c>
      <c r="E6" s="19">
        <f>5486/C6-1</f>
        <v>-0.149852781651945</v>
      </c>
      <c r="F6" s="19">
        <f>LN(5486/C6)/(2026.41-B6)</f>
        <v>-0.0147452994040228</v>
      </c>
      <c r="G6" s="20" t="s">
        <v>88</v>
      </c>
    </row>
    <row r="7" spans="1:7">
      <c r="A7" s="4" t="s">
        <v>90</v>
      </c>
      <c r="B7" s="5">
        <v>2026.41</v>
      </c>
      <c r="C7" s="6">
        <v>5486</v>
      </c>
      <c r="D7" s="7">
        <f t="shared" si="0"/>
        <v>0</v>
      </c>
      <c r="E7" s="21" t="s">
        <v>50</v>
      </c>
      <c r="F7" s="21" t="s">
        <v>50</v>
      </c>
      <c r="G7" s="18" t="s">
        <v>88</v>
      </c>
    </row>
    <row r="8" spans="1:7">
      <c r="A8" s="12" t="s">
        <v>91</v>
      </c>
      <c r="B8" s="13">
        <v>2005</v>
      </c>
      <c r="C8" s="14">
        <v>793</v>
      </c>
      <c r="D8" s="15">
        <f t="shared" si="0"/>
        <v>21.4100000000001</v>
      </c>
      <c r="E8" s="22">
        <f t="shared" ref="E8:E13" si="1">6100/C8-1</f>
        <v>6.69230769230769</v>
      </c>
      <c r="F8" s="22">
        <f t="shared" ref="F8:F13" si="2">LN(6100/C8)/(2026.41-B8)</f>
        <v>0.095292892504743</v>
      </c>
      <c r="G8" s="23" t="s">
        <v>92</v>
      </c>
    </row>
    <row r="9" spans="1:7">
      <c r="A9" s="4" t="s">
        <v>93</v>
      </c>
      <c r="B9" s="5">
        <v>2012.5</v>
      </c>
      <c r="C9" s="6">
        <v>2181</v>
      </c>
      <c r="D9" s="7">
        <f t="shared" si="0"/>
        <v>13.9100000000001</v>
      </c>
      <c r="E9" s="17">
        <f t="shared" si="1"/>
        <v>1.79688216414489</v>
      </c>
      <c r="F9" s="17">
        <f t="shared" si="2"/>
        <v>0.0739399916577834</v>
      </c>
      <c r="G9" s="18" t="s">
        <v>94</v>
      </c>
    </row>
    <row r="10" spans="1:7">
      <c r="A10" s="8" t="s">
        <v>95</v>
      </c>
      <c r="B10" s="9">
        <v>2015.4</v>
      </c>
      <c r="C10" s="10">
        <v>6344</v>
      </c>
      <c r="D10" s="11">
        <f t="shared" si="0"/>
        <v>11.01</v>
      </c>
      <c r="E10" s="19">
        <f t="shared" si="1"/>
        <v>-0.0384615384615384</v>
      </c>
      <c r="F10" s="19">
        <f t="shared" si="2"/>
        <v>-0.00356228094035252</v>
      </c>
      <c r="G10" s="20" t="s">
        <v>94</v>
      </c>
    </row>
    <row r="11" spans="1:7">
      <c r="A11" s="4" t="s">
        <v>96</v>
      </c>
      <c r="B11" s="5">
        <v>2018.9</v>
      </c>
      <c r="C11" s="6">
        <v>3228</v>
      </c>
      <c r="D11" s="7">
        <f t="shared" si="0"/>
        <v>7.50999999999999</v>
      </c>
      <c r="E11" s="17">
        <f t="shared" si="1"/>
        <v>0.889714993804213</v>
      </c>
      <c r="F11" s="17">
        <f t="shared" si="2"/>
        <v>0.0847438110215132</v>
      </c>
      <c r="G11" s="18" t="s">
        <v>97</v>
      </c>
    </row>
    <row r="12" spans="1:7">
      <c r="A12" s="8" t="s">
        <v>98</v>
      </c>
      <c r="B12" s="9">
        <v>2021.5</v>
      </c>
      <c r="C12" s="10">
        <v>6712</v>
      </c>
      <c r="D12" s="11">
        <f t="shared" si="0"/>
        <v>4.91000000000008</v>
      </c>
      <c r="E12" s="19">
        <f t="shared" si="1"/>
        <v>-0.0911799761620977</v>
      </c>
      <c r="F12" s="19">
        <f t="shared" si="2"/>
        <v>-0.0194721380826146</v>
      </c>
      <c r="G12" s="20" t="s">
        <v>99</v>
      </c>
    </row>
    <row r="13" spans="1:7">
      <c r="A13" s="4" t="s">
        <v>100</v>
      </c>
      <c r="B13" s="5">
        <v>2024</v>
      </c>
      <c r="C13" s="6">
        <v>3573</v>
      </c>
      <c r="D13" s="7">
        <f t="shared" si="0"/>
        <v>2.41000000000008</v>
      </c>
      <c r="E13" s="17">
        <f t="shared" si="1"/>
        <v>0.70724881052337</v>
      </c>
      <c r="F13" s="17">
        <f t="shared" si="2"/>
        <v>0.221943233252272</v>
      </c>
      <c r="G13" s="18" t="s">
        <v>101</v>
      </c>
    </row>
    <row r="14" spans="1:7">
      <c r="A14" s="12" t="s">
        <v>102</v>
      </c>
      <c r="B14" s="13">
        <v>2026.41</v>
      </c>
      <c r="C14" s="14">
        <v>6100</v>
      </c>
      <c r="D14" s="15">
        <f t="shared" si="0"/>
        <v>0</v>
      </c>
      <c r="E14" s="24" t="s">
        <v>50</v>
      </c>
      <c r="F14" s="24" t="s">
        <v>50</v>
      </c>
      <c r="G14" s="23" t="s">
        <v>103</v>
      </c>
    </row>
    <row r="16" ht="15" customHeight="1" spans="1:7">
      <c r="A16" s="16" t="s">
        <v>104</v>
      </c>
      <c r="B16" s="16"/>
      <c r="C16" s="16"/>
      <c r="D16" s="16"/>
      <c r="E16" s="16"/>
      <c r="F16" s="16"/>
      <c r="G16" s="16"/>
    </row>
    <row r="17" ht="15" customHeight="1" spans="1:7">
      <c r="A17" s="16" t="s">
        <v>105</v>
      </c>
      <c r="B17" s="16"/>
      <c r="C17" s="16"/>
      <c r="D17" s="16"/>
      <c r="E17" s="16"/>
      <c r="F17" s="16"/>
      <c r="G17" s="16"/>
    </row>
  </sheetData>
  <mergeCells count="4">
    <mergeCell ref="A1:G1"/>
    <mergeCell ref="A2:G2"/>
    <mergeCell ref="A16:G16"/>
    <mergeCell ref="A17:G17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说明·必读</vt:lpstr>
      <vt:lpstr>中证800(年初)</vt:lpstr>
      <vt:lpstr>中证A500(年初)</vt:lpstr>
      <vt:lpstr>关键点位·全精确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Morishita Yumeoi</cp:lastModifiedBy>
  <cp:revision>1</cp:revision>
  <dcterms:created xsi:type="dcterms:W3CDTF">2026-05-31T14:09:00Z</dcterms:created>
  <dcterms:modified xsi:type="dcterms:W3CDTF">2026-05-31T14:17:53Z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75AA39070F2857A737D21B6AE0BD830D_42</vt:lpwstr>
  </property>
</Properties>
</file>