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上证·年代分析" sheetId="1" state="visible" r:id="rId3"/>
    <sheet name="跨国对比·公平化" sheetId="2" state="visible" r:id="rId4"/>
    <sheet name="公平对比·方法清单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<sst xmlns="http://schemas.openxmlformats.org/spreadsheetml/2006/main" count="116" uniqueCount="100">
  <si>
    <r>
      <rPr>
        <b val="true"/>
        <sz val="14"/>
        <color rgb="FF1F3864"/>
        <rFont val="Noto Sans CJK SC"/>
        <family val="2"/>
      </rPr>
      <t xml:space="preserve">上证指数 </t>
    </r>
    <r>
      <rPr>
        <b val="true"/>
        <sz val="14"/>
        <color rgb="FF1F3864"/>
        <rFont val="Arial"/>
        <family val="0"/>
        <charset val="1"/>
      </rPr>
      <t xml:space="preserve">· </t>
    </r>
    <r>
      <rPr>
        <b val="true"/>
        <sz val="14"/>
        <color rgb="FF1F3864"/>
        <rFont val="Noto Sans CJK SC"/>
        <family val="2"/>
      </rPr>
      <t xml:space="preserve">分年代连续复利收益分析</t>
    </r>
  </si>
  <si>
    <r>
      <rPr>
        <i val="true"/>
        <sz val="10"/>
        <color rgb="FF595959"/>
        <rFont val="Noto Sans CJK SC"/>
        <family val="2"/>
      </rPr>
      <t xml:space="preserve">终值公式  </t>
    </r>
    <r>
      <rPr>
        <i val="true"/>
        <sz val="10"/>
        <color rgb="FF595959"/>
        <rFont val="Arial"/>
        <family val="0"/>
        <charset val="1"/>
      </rPr>
      <t xml:space="preserve">S_T = S_0 · e^(r·n)   ⇒   </t>
    </r>
    <r>
      <rPr>
        <i val="true"/>
        <sz val="10"/>
        <color rgb="FF595959"/>
        <rFont val="Noto Sans CJK SC"/>
        <family val="2"/>
      </rPr>
      <t xml:space="preserve">年化连续复利  </t>
    </r>
    <r>
      <rPr>
        <i val="true"/>
        <sz val="10"/>
        <color rgb="FF595959"/>
        <rFont val="Arial"/>
        <family val="0"/>
        <charset val="1"/>
      </rPr>
      <t xml:space="preserve">r = (1/n)·ln(S_T / S_0)</t>
    </r>
  </si>
  <si>
    <t xml:space="preserve">终点（现值）假设——可自行修改</t>
  </si>
  <si>
    <t xml:space="preserve">上证指数现值（点）</t>
  </si>
  <si>
    <r>
      <rPr>
        <sz val="9"/>
        <color rgb="FF595959"/>
        <rFont val="Arial"/>
        <family val="0"/>
        <charset val="1"/>
      </rPr>
      <t xml:space="preserve">← 2026</t>
    </r>
    <r>
      <rPr>
        <sz val="9"/>
        <color rgb="FF595959"/>
        <rFont val="Noto Sans CJK SC"/>
        <family val="2"/>
      </rPr>
      <t xml:space="preserve">年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月约</t>
    </r>
    <r>
      <rPr>
        <sz val="9"/>
        <color rgb="FF595959"/>
        <rFont val="Arial"/>
        <family val="0"/>
        <charset val="1"/>
      </rPr>
      <t xml:space="preserve">4100</t>
    </r>
    <r>
      <rPr>
        <sz val="9"/>
        <color rgb="FF595959"/>
        <rFont val="Noto Sans CJK SC"/>
        <family val="2"/>
      </rPr>
      <t xml:space="preserve">点</t>
    </r>
  </si>
  <si>
    <t xml:space="preserve">现值对应年份（小数）</t>
  </si>
  <si>
    <r>
      <rPr>
        <sz val="9"/>
        <color rgb="FF595959"/>
        <rFont val="Arial"/>
        <family val="0"/>
        <charset val="1"/>
      </rPr>
      <t xml:space="preserve">← 2026.41 ≈ 2026</t>
    </r>
    <r>
      <rPr>
        <sz val="9"/>
        <color rgb="FF595959"/>
        <rFont val="Noto Sans CJK SC"/>
        <family val="2"/>
      </rPr>
      <t xml:space="preserve">年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月底</t>
    </r>
  </si>
  <si>
    <t xml:space="preserve">起点时段</t>
  </si>
  <si>
    <t xml:space="preserve">起点年份</t>
  </si>
  <si>
    <t xml:space="preserve">起点点位</t>
  </si>
  <si>
    <r>
      <rPr>
        <b val="true"/>
        <sz val="10"/>
        <color rgb="FFFFFFFF"/>
        <rFont val="Noto Sans CJK SC"/>
        <family val="2"/>
      </rPr>
      <t xml:space="preserve">年数 </t>
    </r>
    <r>
      <rPr>
        <b val="true"/>
        <sz val="10"/>
        <color rgb="FFFFFFFF"/>
        <rFont val="Arial"/>
        <family val="0"/>
        <charset val="1"/>
      </rPr>
      <t xml:space="preserve">n</t>
    </r>
  </si>
  <si>
    <t xml:space="preserve">累计涨跌幅</t>
  </si>
  <si>
    <r>
      <rPr>
        <b val="true"/>
        <sz val="10"/>
        <color rgb="FFFFFFFF"/>
        <rFont val="Noto Sans CJK SC"/>
        <family val="2"/>
      </rPr>
      <t xml:space="preserve">连续复利累计</t>
    </r>
    <r>
      <rPr>
        <b val="true"/>
        <sz val="10"/>
        <color rgb="FFFFFFFF"/>
        <rFont val="Arial"/>
        <family val="0"/>
        <charset val="1"/>
      </rPr>
      <t xml:space="preserve">
ln(S_T/S_0)</t>
    </r>
  </si>
  <si>
    <r>
      <rPr>
        <b val="true"/>
        <sz val="10"/>
        <color rgb="FFFFFFFF"/>
        <rFont val="Noto Sans CJK SC"/>
        <family val="2"/>
      </rPr>
      <t xml:space="preserve">年化连续复利 </t>
    </r>
    <r>
      <rPr>
        <b val="true"/>
        <sz val="10"/>
        <color rgb="FFFFFFFF"/>
        <rFont val="Arial"/>
        <family val="0"/>
        <charset val="1"/>
      </rPr>
      <t xml:space="preserve">r</t>
    </r>
  </si>
  <si>
    <r>
      <rPr>
        <b val="true"/>
        <sz val="10"/>
        <color rgb="FFFFFFFF"/>
        <rFont val="Noto Sans CJK SC"/>
        <family val="2"/>
      </rPr>
      <t xml:space="preserve">等价年化单利</t>
    </r>
    <r>
      <rPr>
        <b val="true"/>
        <sz val="10"/>
        <color rgb="FFFFFFFF"/>
        <rFont val="Arial"/>
        <family val="0"/>
        <charset val="1"/>
      </rPr>
      <t xml:space="preserve">
e^r − 1</t>
    </r>
  </si>
  <si>
    <r>
      <rPr>
        <sz val="10"/>
        <color rgb="FF000000"/>
        <rFont val="Noto Sans CJK SC"/>
        <family val="2"/>
      </rPr>
      <t xml:space="preserve">上市基准 </t>
    </r>
    <r>
      <rPr>
        <sz val="10"/>
        <color rgb="FF000000"/>
        <rFont val="Arial"/>
        <family val="0"/>
        <charset val="1"/>
      </rPr>
      <t xml:space="preserve">(1990</t>
    </r>
    <r>
      <rPr>
        <sz val="10"/>
        <color rgb="FF000000"/>
        <rFont val="Noto Sans CJK SC"/>
        <family val="2"/>
      </rPr>
      <t xml:space="preserve">末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</si>
  <si>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千点底 </t>
    </r>
    <r>
      <rPr>
        <sz val="10"/>
        <color rgb="FF000000"/>
        <rFont val="Arial"/>
        <family val="0"/>
        <charset val="1"/>
      </rPr>
      <t xml:space="preserve">(2005.6)</t>
    </r>
  </si>
  <si>
    <r>
      <rPr>
        <b val="true"/>
        <sz val="10"/>
        <color rgb="FF000000"/>
        <rFont val="Noto Sans CJK SC"/>
        <family val="2"/>
      </rPr>
      <t xml:space="preserve">★历史大顶 </t>
    </r>
    <r>
      <rPr>
        <b val="true"/>
        <sz val="10"/>
        <color rgb="FF000000"/>
        <rFont val="Arial"/>
        <family val="0"/>
        <charset val="1"/>
      </rPr>
      <t xml:space="preserve">(2007.10)</t>
    </r>
  </si>
  <si>
    <r>
      <rPr>
        <sz val="10"/>
        <color rgb="FF000000"/>
        <rFont val="Noto Sans CJK SC"/>
        <family val="2"/>
      </rPr>
      <t xml:space="preserve">金融危机底 </t>
    </r>
    <r>
      <rPr>
        <sz val="10"/>
        <color rgb="FF000000"/>
        <rFont val="Arial"/>
        <family val="0"/>
        <charset val="1"/>
      </rPr>
      <t xml:space="preserve">(2008.10)</t>
    </r>
  </si>
  <si>
    <r>
      <rPr>
        <b val="true"/>
        <sz val="10"/>
        <color rgb="FF000000"/>
        <rFont val="Noto Sans CJK SC"/>
        <family val="2"/>
      </rPr>
      <t xml:space="preserve">杠杆牛顶 </t>
    </r>
    <r>
      <rPr>
        <b val="true"/>
        <sz val="10"/>
        <color rgb="FF000000"/>
        <rFont val="Arial"/>
        <family val="0"/>
        <charset val="1"/>
      </rPr>
      <t xml:space="preserve">(2015.6)</t>
    </r>
  </si>
  <si>
    <r>
      <rPr>
        <sz val="10"/>
        <color rgb="FF000000"/>
        <rFont val="Noto Sans CJK SC"/>
        <family val="2"/>
      </rPr>
      <t xml:space="preserve">近十年 </t>
    </r>
    <r>
      <rPr>
        <sz val="10"/>
        <color rgb="FF000000"/>
        <rFont val="Arial"/>
        <family val="0"/>
        <charset val="1"/>
      </rPr>
      <t xml:space="preserve">(2016.5)</t>
    </r>
  </si>
  <si>
    <r>
      <rPr>
        <sz val="10"/>
        <color rgb="FF000000"/>
        <rFont val="Noto Sans CJK SC"/>
        <family val="2"/>
      </rPr>
      <t xml:space="preserve">近五年 </t>
    </r>
    <r>
      <rPr>
        <sz val="10"/>
        <color rgb="FF000000"/>
        <rFont val="Arial"/>
        <family val="0"/>
        <charset val="1"/>
      </rPr>
      <t xml:space="preserve">(2021.5)</t>
    </r>
  </si>
  <si>
    <r>
      <rPr>
        <sz val="10"/>
        <color rgb="FF000000"/>
        <rFont val="Noto Sans CJK SC"/>
        <family val="2"/>
      </rPr>
      <t xml:space="preserve">近一年 </t>
    </r>
    <r>
      <rPr>
        <sz val="10"/>
        <color rgb="FF000000"/>
        <rFont val="Arial"/>
        <family val="0"/>
        <charset val="1"/>
      </rPr>
      <t xml:space="preserve">(2025.5)</t>
    </r>
  </si>
  <si>
    <r>
      <rPr>
        <sz val="10"/>
        <color rgb="FF000000"/>
        <rFont val="Noto Sans CJK SC"/>
        <family val="2"/>
      </rPr>
      <t xml:space="preserve">解读：终点（现值约</t>
    </r>
    <r>
      <rPr>
        <sz val="10"/>
        <color rgb="FF000000"/>
        <rFont val="Arial"/>
        <family val="0"/>
        <charset val="1"/>
      </rPr>
      <t xml:space="preserve">4100</t>
    </r>
    <r>
      <rPr>
        <sz val="10"/>
        <color rgb="FF000000"/>
        <rFont val="Noto Sans CJK SC"/>
        <family val="2"/>
      </rPr>
      <t xml:space="preserve">点）对所有行都一样，唯一变的是“起点”。</t>
    </r>
  </si>
  <si>
    <r>
      <rPr>
        <sz val="10"/>
        <color rgb="FF000000"/>
        <rFont val="Noto Sans CJK SC"/>
        <family val="2"/>
      </rPr>
      <t xml:space="preserve">同一个今天，从</t>
    </r>
    <r>
      <rPr>
        <sz val="10"/>
        <color rgb="FF000000"/>
        <rFont val="Arial"/>
        <family val="0"/>
        <charset val="1"/>
      </rPr>
      <t xml:space="preserve">1990</t>
    </r>
    <r>
      <rPr>
        <sz val="10"/>
        <color rgb="FF000000"/>
        <rFont val="Noto Sans CJK SC"/>
        <family val="2"/>
      </rPr>
      <t xml:space="preserve">年上市算 → 年化约 </t>
    </r>
    <r>
      <rPr>
        <sz val="10"/>
        <color rgb="FF000000"/>
        <rFont val="Arial"/>
        <family val="0"/>
        <charset val="1"/>
      </rPr>
      <t xml:space="preserve">+10%</t>
    </r>
    <r>
      <rPr>
        <sz val="10"/>
        <color rgb="FF000000"/>
        <rFont val="Noto Sans CJK SC"/>
        <family val="2"/>
      </rPr>
      <t xml:space="preserve">；从</t>
    </r>
    <r>
      <rPr>
        <sz val="10"/>
        <color rgb="FF000000"/>
        <rFont val="Arial"/>
        <family val="0"/>
        <charset val="1"/>
      </rPr>
      <t xml:space="preserve">2005</t>
    </r>
    <r>
      <rPr>
        <sz val="10"/>
        <color rgb="FF000000"/>
        <rFont val="Noto Sans CJK SC"/>
        <family val="2"/>
      </rPr>
      <t xml:space="preserve">千点底算 → 约 </t>
    </r>
    <r>
      <rPr>
        <sz val="10"/>
        <color rgb="FF000000"/>
        <rFont val="Arial"/>
        <family val="0"/>
        <charset val="1"/>
      </rPr>
      <t xml:space="preserve">+7%</t>
    </r>
    <r>
      <rPr>
        <sz val="10"/>
        <color rgb="FF000000"/>
        <rFont val="Noto Sans CJK SC"/>
        <family val="2"/>
      </rPr>
      <t xml:space="preserve">；</t>
    </r>
  </si>
  <si>
    <r>
      <rPr>
        <sz val="10"/>
        <color rgb="FF000000"/>
        <rFont val="Noto Sans CJK SC"/>
        <family val="2"/>
      </rPr>
      <t xml:space="preserve">唯独从</t>
    </r>
    <r>
      <rPr>
        <sz val="10"/>
        <color rgb="FF000000"/>
        <rFont val="Arial"/>
        <family val="0"/>
        <charset val="1"/>
      </rPr>
      <t xml:space="preserve">2007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月的历史大顶（</t>
    </r>
    <r>
      <rPr>
        <sz val="10"/>
        <color rgb="FF000000"/>
        <rFont val="Arial"/>
        <family val="0"/>
        <charset val="1"/>
      </rPr>
      <t xml:space="preserve">6124</t>
    </r>
    <r>
      <rPr>
        <sz val="10"/>
        <color rgb="FF000000"/>
        <rFont val="Noto Sans CJK SC"/>
        <family val="2"/>
      </rPr>
      <t xml:space="preserve">点，当年市盈率</t>
    </r>
    <r>
      <rPr>
        <sz val="10"/>
        <color rgb="FF000000"/>
        <rFont val="Arial"/>
        <family val="0"/>
        <charset val="1"/>
      </rPr>
      <t xml:space="preserve">60-70</t>
    </r>
    <r>
      <rPr>
        <sz val="10"/>
        <color rgb="FF000000"/>
        <rFont val="Noto Sans CJK SC"/>
        <family val="2"/>
      </rPr>
      <t xml:space="preserve">倍的泡沫）算起，才是负的（年化约 −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</si>
  <si>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00"/>
        <rFont val="Noto Sans CJK SC"/>
        <family val="2"/>
      </rPr>
      <t xml:space="preserve">网传图的“−</t>
    </r>
    <r>
      <rPr>
        <sz val="10"/>
        <color rgb="FF000000"/>
        <rFont val="Arial"/>
        <family val="0"/>
        <charset val="1"/>
      </rPr>
      <t xml:space="preserve">35%”</t>
    </r>
    <r>
      <rPr>
        <sz val="10"/>
        <color rgb="FF000000"/>
        <rFont val="Noto Sans CJK SC"/>
        <family val="2"/>
      </rPr>
      <t xml:space="preserve">正是挑了上证有史以来最贵的那一天做分母——这是基期操纵，不是市场的客观全貌。</t>
    </r>
  </si>
  <si>
    <r>
      <rPr>
        <sz val="9"/>
        <color rgb="FF595959"/>
        <rFont val="Noto Sans CJK SC"/>
        <family val="2"/>
      </rPr>
      <t xml:space="preserve">注：起点点位中，</t>
    </r>
    <r>
      <rPr>
        <sz val="9"/>
        <color rgb="FF595959"/>
        <rFont val="Arial"/>
        <family val="0"/>
        <charset val="1"/>
      </rPr>
      <t xml:space="preserve">1990/2005/2007/2008/2015</t>
    </r>
    <r>
      <rPr>
        <sz val="9"/>
        <color rgb="FF595959"/>
        <rFont val="Noto Sans CJK SC"/>
        <family val="2"/>
      </rPr>
      <t xml:space="preserve">为确认的历史锚点；</t>
    </r>
    <r>
      <rPr>
        <sz val="9"/>
        <color rgb="FF595959"/>
        <rFont val="Arial"/>
        <family val="0"/>
        <charset val="1"/>
      </rPr>
      <t xml:space="preserve">2016/2021/2025</t>
    </r>
    <r>
      <rPr>
        <sz val="9"/>
        <color rgb="FF595959"/>
        <rFont val="Noto Sans CJK SC"/>
        <family val="2"/>
      </rPr>
      <t xml:space="preserve">为近似收盘水平，可按需替换。</t>
    </r>
  </si>
  <si>
    <t xml:space="preserve">跨国指数对比 —— 把“累计涨跌幅”换算成年化连续复利</t>
  </si>
  <si>
    <r>
      <rPr>
        <i val="true"/>
        <sz val="10"/>
        <color rgb="FF595959"/>
        <rFont val="Noto Sans CJK SC"/>
        <family val="2"/>
      </rPr>
      <t xml:space="preserve">同一区间</t>
    </r>
    <r>
      <rPr>
        <i val="true"/>
        <sz val="10"/>
        <color rgb="FF595959"/>
        <rFont val="Arial"/>
        <family val="0"/>
        <charset val="1"/>
      </rPr>
      <t xml:space="preserve">(2007</t>
    </r>
    <r>
      <rPr>
        <i val="true"/>
        <sz val="10"/>
        <color rgb="FF595959"/>
        <rFont val="Noto Sans CJK SC"/>
        <family val="2"/>
      </rPr>
      <t xml:space="preserve">至今≈</t>
    </r>
    <r>
      <rPr>
        <i val="true"/>
        <sz val="10"/>
        <color rgb="FF595959"/>
        <rFont val="Arial"/>
        <family val="0"/>
        <charset val="1"/>
      </rPr>
      <t xml:space="preserve">18.6</t>
    </r>
    <r>
      <rPr>
        <i val="true"/>
        <sz val="10"/>
        <color rgb="FF595959"/>
        <rFont val="Noto Sans CJK SC"/>
        <family val="2"/>
      </rPr>
      <t xml:space="preserve">年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Noto Sans CJK SC"/>
        <family val="2"/>
      </rPr>
      <t xml:space="preserve">下，年化 </t>
    </r>
    <r>
      <rPr>
        <i val="true"/>
        <sz val="10"/>
        <color rgb="FF595959"/>
        <rFont val="Arial"/>
        <family val="0"/>
        <charset val="1"/>
      </rPr>
      <t xml:space="preserve">r = ln(1+</t>
    </r>
    <r>
      <rPr>
        <i val="true"/>
        <sz val="10"/>
        <color rgb="FF595959"/>
        <rFont val="Noto Sans CJK SC"/>
        <family val="2"/>
      </rPr>
      <t xml:space="preserve">累计</t>
    </r>
    <r>
      <rPr>
        <i val="true"/>
        <sz val="10"/>
        <color rgb="FF595959"/>
        <rFont val="Arial"/>
        <family val="0"/>
        <charset val="1"/>
      </rPr>
      <t xml:space="preserve">) / n</t>
    </r>
    <r>
      <rPr>
        <i val="true"/>
        <sz val="10"/>
        <color rgb="FF595959"/>
        <rFont val="Noto Sans CJK SC"/>
        <family val="2"/>
      </rPr>
      <t xml:space="preserve">。年化后“震撼感”大减，且暴露口径不一致的问题。</t>
    </r>
  </si>
  <si>
    <r>
      <rPr>
        <sz val="10"/>
        <color rgb="FF000000"/>
        <rFont val="Noto Sans CJK SC"/>
        <family val="2"/>
      </rPr>
      <t xml:space="preserve">对比区间年数 </t>
    </r>
    <r>
      <rPr>
        <sz val="10"/>
        <color rgb="FF000000"/>
        <rFont val="Arial"/>
        <family val="0"/>
        <charset val="1"/>
      </rPr>
      <t xml:space="preserve">n</t>
    </r>
  </si>
  <si>
    <t xml:space="preserve">← 2007.8 → 2026.4</t>
  </si>
  <si>
    <r>
      <rPr>
        <b val="true"/>
        <sz val="10"/>
        <color rgb="FFFFFFFF"/>
        <rFont val="Noto Sans CJK SC"/>
        <family val="2"/>
      </rPr>
      <t xml:space="preserve">国家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指数</t>
    </r>
  </si>
  <si>
    <t xml:space="preserve">原图累计涨跌幅</t>
  </si>
  <si>
    <t xml:space="preserve">年化连续复利</t>
  </si>
  <si>
    <t xml:space="preserve">指数类型</t>
  </si>
  <si>
    <r>
      <rPr>
        <b val="true"/>
        <sz val="10"/>
        <color rgb="FFFFFFFF"/>
        <rFont val="Noto Sans CJK SC"/>
        <family val="2"/>
      </rPr>
      <t xml:space="preserve">主要构成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口径提示</t>
    </r>
  </si>
  <si>
    <t xml:space="preserve">中国 上证指数</t>
  </si>
  <si>
    <t xml:space="preserve">价格指数</t>
  </si>
  <si>
    <r>
      <rPr>
        <sz val="9"/>
        <color rgb="FF595959"/>
        <rFont val="Noto Sans CJK SC"/>
        <family val="2"/>
      </rPr>
      <t xml:space="preserve">银行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能源等旧经济权重高；不含分红；起点恰为</t>
    </r>
    <r>
      <rPr>
        <sz val="9"/>
        <color rgb="FF595959"/>
        <rFont val="Arial"/>
        <family val="0"/>
        <charset val="1"/>
      </rPr>
      <t xml:space="preserve">2007</t>
    </r>
    <r>
      <rPr>
        <sz val="9"/>
        <color rgb="FF595959"/>
        <rFont val="Noto Sans CJK SC"/>
        <family val="2"/>
      </rPr>
      <t xml:space="preserve">泡沫顶</t>
    </r>
  </si>
  <si>
    <t xml:space="preserve">美国 纳斯达克</t>
  </si>
  <si>
    <r>
      <rPr>
        <sz val="9"/>
        <color rgb="FF595959"/>
        <rFont val="Noto Sans CJK SC"/>
        <family val="2"/>
      </rPr>
      <t xml:space="preserve">科技股为主，吃满互联网</t>
    </r>
    <r>
      <rPr>
        <sz val="9"/>
        <color rgb="FF595959"/>
        <rFont val="Arial"/>
        <family val="0"/>
        <charset val="1"/>
      </rPr>
      <t xml:space="preserve">+AI</t>
    </r>
    <r>
      <rPr>
        <sz val="9"/>
        <color rgb="FF595959"/>
        <rFont val="Noto Sans CJK SC"/>
        <family val="2"/>
      </rPr>
      <t xml:space="preserve">浪潮</t>
    </r>
  </si>
  <si>
    <r>
      <rPr>
        <sz val="10"/>
        <color rgb="FF000000"/>
        <rFont val="Noto Sans CJK SC"/>
        <family val="2"/>
      </rPr>
      <t xml:space="preserve">印度 </t>
    </r>
    <r>
      <rPr>
        <sz val="10"/>
        <color rgb="FF000000"/>
        <rFont val="Arial"/>
        <family val="0"/>
        <charset val="1"/>
      </rPr>
      <t xml:space="preserve">SENSEX30</t>
    </r>
  </si>
  <si>
    <t xml:space="preserve">高增长经济体，长牛</t>
  </si>
  <si>
    <r>
      <rPr>
        <sz val="10"/>
        <color rgb="FF000000"/>
        <rFont val="Noto Sans CJK SC"/>
        <family val="2"/>
      </rPr>
      <t xml:space="preserve">日本 日经</t>
    </r>
    <r>
      <rPr>
        <sz val="10"/>
        <color rgb="FF000000"/>
        <rFont val="Arial"/>
        <family val="0"/>
        <charset val="1"/>
      </rPr>
      <t xml:space="preserve">225</t>
    </r>
  </si>
  <si>
    <t xml:space="preserve">安倍经济学后走出长期通缩</t>
  </si>
  <si>
    <r>
      <rPr>
        <sz val="10"/>
        <color rgb="FF000000"/>
        <rFont val="Noto Sans CJK SC"/>
        <family val="2"/>
      </rPr>
      <t xml:space="preserve">韩国 </t>
    </r>
    <r>
      <rPr>
        <sz val="10"/>
        <color rgb="FF000000"/>
        <rFont val="Arial"/>
        <family val="0"/>
        <charset val="1"/>
      </rPr>
      <t xml:space="preserve">KOSPI</t>
    </r>
  </si>
  <si>
    <r>
      <rPr>
        <sz val="9"/>
        <color rgb="FF595959"/>
        <rFont val="Noto Sans CJK SC"/>
        <family val="2"/>
      </rPr>
      <t xml:space="preserve">半导体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出口驱动</t>
    </r>
  </si>
  <si>
    <r>
      <rPr>
        <sz val="10"/>
        <color rgb="FF000000"/>
        <rFont val="Noto Sans CJK SC"/>
        <family val="2"/>
      </rPr>
      <t xml:space="preserve">德国 </t>
    </r>
    <r>
      <rPr>
        <sz val="10"/>
        <color rgb="FF000000"/>
        <rFont val="Arial"/>
        <family val="0"/>
        <charset val="1"/>
      </rPr>
      <t xml:space="preserve">DAX</t>
    </r>
  </si>
  <si>
    <t xml:space="preserve">全收益指数</t>
  </si>
  <si>
    <t xml:space="preserve">★含分红再投资！与价格指数不可直接比</t>
  </si>
  <si>
    <r>
      <rPr>
        <sz val="10"/>
        <color rgb="FF000000"/>
        <rFont val="Noto Sans CJK SC"/>
        <family val="2"/>
      </rPr>
      <t xml:space="preserve">英国 富时</t>
    </r>
    <r>
      <rPr>
        <sz val="10"/>
        <color rgb="FF000000"/>
        <rFont val="Arial"/>
        <family val="0"/>
        <charset val="1"/>
      </rPr>
      <t xml:space="preserve">100</t>
    </r>
  </si>
  <si>
    <t xml:space="preserve">老牌蓝筹、高分红、低成长</t>
  </si>
  <si>
    <r>
      <rPr>
        <sz val="10"/>
        <color rgb="FF000000"/>
        <rFont val="Noto Sans CJK SC"/>
        <family val="2"/>
      </rPr>
      <t xml:space="preserve">法国 </t>
    </r>
    <r>
      <rPr>
        <sz val="10"/>
        <color rgb="FF000000"/>
        <rFont val="Arial"/>
        <family val="0"/>
        <charset val="1"/>
      </rPr>
      <t xml:space="preserve">CAC40</t>
    </r>
  </si>
  <si>
    <r>
      <rPr>
        <sz val="9"/>
        <color rgb="FF595959"/>
        <rFont val="Noto Sans CJK SC"/>
        <family val="2"/>
      </rPr>
      <t xml:space="preserve">另有含分红的</t>
    </r>
    <r>
      <rPr>
        <sz val="9"/>
        <color rgb="FF595959"/>
        <rFont val="Arial"/>
        <family val="0"/>
        <charset val="1"/>
      </rPr>
      <t xml:space="preserve">CAC40 GR</t>
    </r>
    <r>
      <rPr>
        <sz val="9"/>
        <color rgb="FF595959"/>
        <rFont val="Noto Sans CJK SC"/>
        <family val="2"/>
      </rPr>
      <t xml:space="preserve">版本，数字会更高</t>
    </r>
  </si>
  <si>
    <r>
      <rPr>
        <sz val="10"/>
        <color rgb="FF000000"/>
        <rFont val="Noto Sans CJK SC"/>
        <family val="2"/>
      </rPr>
      <t xml:space="preserve">瑞典 </t>
    </r>
    <r>
      <rPr>
        <sz val="10"/>
        <color rgb="FF000000"/>
        <rFont val="Arial"/>
        <family val="0"/>
        <charset val="1"/>
      </rPr>
      <t xml:space="preserve">OMXS30</t>
    </r>
  </si>
  <si>
    <r>
      <rPr>
        <sz val="9"/>
        <color rgb="FF595959"/>
        <rFont val="Noto Sans CJK SC"/>
        <family val="2"/>
      </rPr>
      <t xml:space="preserve">另有全收益版</t>
    </r>
    <r>
      <rPr>
        <sz val="9"/>
        <color rgb="FF595959"/>
        <rFont val="Arial"/>
        <family val="0"/>
        <charset val="1"/>
      </rPr>
      <t xml:space="preserve">OMXSGI</t>
    </r>
  </si>
  <si>
    <r>
      <rPr>
        <sz val="10"/>
        <color rgb="FF000000"/>
        <rFont val="Noto Sans CJK SC"/>
        <family val="2"/>
      </rPr>
      <t xml:space="preserve">瑞士 </t>
    </r>
    <r>
      <rPr>
        <sz val="10"/>
        <color rgb="FF000000"/>
        <rFont val="Arial"/>
        <family val="0"/>
        <charset val="1"/>
      </rPr>
      <t xml:space="preserve">SMI</t>
    </r>
  </si>
  <si>
    <r>
      <rPr>
        <sz val="9"/>
        <color rgb="FF595959"/>
        <rFont val="Noto Sans CJK SC"/>
        <family val="2"/>
      </rPr>
      <t xml:space="preserve">医药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食品蓝筹</t>
    </r>
  </si>
  <si>
    <r>
      <rPr>
        <sz val="10"/>
        <color rgb="FF000000"/>
        <rFont val="Noto Sans CJK SC"/>
        <family val="2"/>
      </rPr>
      <t xml:space="preserve">丹麦 </t>
    </r>
    <r>
      <rPr>
        <sz val="10"/>
        <color rgb="FF000000"/>
        <rFont val="Arial"/>
        <family val="0"/>
        <charset val="1"/>
      </rPr>
      <t xml:space="preserve">OMXC20</t>
    </r>
  </si>
  <si>
    <t xml:space="preserve">诺和诺德等权重大</t>
  </si>
  <si>
    <r>
      <rPr>
        <sz val="10"/>
        <color rgb="FF000000"/>
        <rFont val="Noto Sans CJK SC"/>
        <family val="2"/>
      </rPr>
      <t xml:space="preserve">荷兰 </t>
    </r>
    <r>
      <rPr>
        <sz val="10"/>
        <color rgb="FF000000"/>
        <rFont val="Arial"/>
        <family val="0"/>
        <charset val="1"/>
      </rPr>
      <t xml:space="preserve">AEX</t>
    </r>
  </si>
  <si>
    <r>
      <rPr>
        <sz val="9"/>
        <color rgb="FF595959"/>
        <rFont val="Noto Sans CJK SC"/>
        <family val="2"/>
      </rPr>
      <t xml:space="preserve">另有含分红的</t>
    </r>
    <r>
      <rPr>
        <sz val="9"/>
        <color rgb="FF595959"/>
        <rFont val="Arial"/>
        <family val="0"/>
        <charset val="1"/>
      </rPr>
      <t xml:space="preserve">AEX-GR</t>
    </r>
  </si>
  <si>
    <r>
      <rPr>
        <sz val="10"/>
        <color rgb="FF000000"/>
        <rFont val="Noto Sans CJK SC"/>
        <family val="2"/>
      </rPr>
      <t xml:space="preserve">挪威 </t>
    </r>
    <r>
      <rPr>
        <sz val="10"/>
        <color rgb="FF000000"/>
        <rFont val="Arial"/>
        <family val="0"/>
        <charset val="1"/>
      </rPr>
      <t xml:space="preserve">OBX</t>
    </r>
  </si>
  <si>
    <t xml:space="preserve">能源权重高</t>
  </si>
  <si>
    <r>
      <rPr>
        <sz val="10"/>
        <color rgb="FF000000"/>
        <rFont val="Noto Sans CJK SC"/>
        <family val="2"/>
      </rPr>
      <t xml:space="preserve">意大利 </t>
    </r>
    <r>
      <rPr>
        <sz val="10"/>
        <color rgb="FF000000"/>
        <rFont val="Arial"/>
        <family val="0"/>
        <charset val="1"/>
      </rPr>
      <t xml:space="preserve">FTSE MIB</t>
    </r>
  </si>
  <si>
    <t xml:space="preserve">另有含分红版</t>
  </si>
  <si>
    <r>
      <rPr>
        <sz val="10"/>
        <color rgb="FF000000"/>
        <rFont val="Noto Sans CJK SC"/>
        <family val="2"/>
      </rPr>
      <t xml:space="preserve">比利时 </t>
    </r>
    <r>
      <rPr>
        <sz val="10"/>
        <color rgb="FF000000"/>
        <rFont val="Arial"/>
        <family val="0"/>
        <charset val="1"/>
      </rPr>
      <t xml:space="preserve">BEL20</t>
    </r>
  </si>
  <si>
    <t xml:space="preserve">小型市场</t>
  </si>
  <si>
    <r>
      <rPr>
        <sz val="10"/>
        <color rgb="FF000000"/>
        <rFont val="Noto Sans CJK SC"/>
        <family val="2"/>
      </rPr>
      <t xml:space="preserve">澳大利亚 </t>
    </r>
    <r>
      <rPr>
        <sz val="10"/>
        <color rgb="FF000000"/>
        <rFont val="Arial"/>
        <family val="0"/>
        <charset val="1"/>
      </rPr>
      <t xml:space="preserve">ASX200</t>
    </r>
  </si>
  <si>
    <r>
      <rPr>
        <sz val="9"/>
        <color rgb="FF595959"/>
        <rFont val="Noto Sans CJK SC"/>
        <family val="2"/>
      </rPr>
      <t xml:space="preserve">另有累计指数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含分红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版本，数字明显更高</t>
    </r>
  </si>
  <si>
    <r>
      <rPr>
        <b val="true"/>
        <sz val="10"/>
        <color rgb="FF000000"/>
        <rFont val="Noto Sans CJK SC"/>
        <family val="2"/>
      </rPr>
      <t xml:space="preserve">同一只上证，换口径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Noto Sans CJK SC"/>
        <family val="2"/>
      </rPr>
      <t xml:space="preserve">换基期后的样子</t>
    </r>
  </si>
  <si>
    <r>
      <rPr>
        <b val="true"/>
        <sz val="10"/>
        <color rgb="FFFFFFFF"/>
        <rFont val="Noto Sans CJK SC"/>
        <family val="2"/>
      </rPr>
      <t xml:space="preserve">口径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基期</t>
    </r>
  </si>
  <si>
    <t xml:space="preserve">—</t>
  </si>
  <si>
    <t xml:space="preserve">说明</t>
  </si>
  <si>
    <r>
      <rPr>
        <sz val="10"/>
        <color rgb="FF000000"/>
        <rFont val="Noto Sans CJK SC"/>
        <family val="2"/>
      </rPr>
      <t xml:space="preserve">上证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价格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从</t>
    </r>
    <r>
      <rPr>
        <sz val="10"/>
        <color rgb="FF000000"/>
        <rFont val="Arial"/>
        <family val="0"/>
        <charset val="1"/>
      </rPr>
      <t xml:space="preserve">2007</t>
    </r>
    <r>
      <rPr>
        <sz val="10"/>
        <color rgb="FF000000"/>
        <rFont val="Noto Sans CJK SC"/>
        <family val="2"/>
      </rPr>
      <t xml:space="preserve">顶</t>
    </r>
  </si>
  <si>
    <r>
      <rPr>
        <sz val="9"/>
        <color rgb="FF595959"/>
        <rFont val="Noto Sans CJK SC"/>
        <family val="2"/>
      </rPr>
      <t xml:space="preserve">网传图采用的最不利组合：基期</t>
    </r>
    <r>
      <rPr>
        <sz val="9"/>
        <color rgb="FF595959"/>
        <rFont val="Arial"/>
        <family val="0"/>
        <charset val="1"/>
      </rPr>
      <t xml:space="preserve">=</t>
    </r>
    <r>
      <rPr>
        <sz val="9"/>
        <color rgb="FF595959"/>
        <rFont val="Noto Sans CJK SC"/>
        <family val="2"/>
      </rPr>
      <t xml:space="preserve">泡沫顶</t>
    </r>
    <r>
      <rPr>
        <sz val="9"/>
        <color rgb="FF595959"/>
        <rFont val="Arial"/>
        <family val="0"/>
        <charset val="1"/>
      </rPr>
      <t xml:space="preserve">+</t>
    </r>
    <r>
      <rPr>
        <sz val="9"/>
        <color rgb="FF595959"/>
        <rFont val="Noto Sans CJK SC"/>
        <family val="2"/>
      </rPr>
      <t xml:space="preserve">只算价格不含分红</t>
    </r>
  </si>
  <si>
    <r>
      <rPr>
        <sz val="10"/>
        <color rgb="FF000000"/>
        <rFont val="Noto Sans CJK SC"/>
        <family val="2"/>
      </rPr>
      <t xml:space="preserve">上证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含分红估算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从</t>
    </r>
    <r>
      <rPr>
        <sz val="10"/>
        <color rgb="FF000000"/>
        <rFont val="Arial"/>
        <family val="0"/>
        <charset val="1"/>
      </rPr>
      <t xml:space="preserve">2007</t>
    </r>
    <r>
      <rPr>
        <sz val="10"/>
        <color rgb="FF000000"/>
        <rFont val="Noto Sans CJK SC"/>
        <family val="2"/>
      </rPr>
      <t xml:space="preserve">顶</t>
    </r>
  </si>
  <si>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Noto Sans CJK SC"/>
        <family val="2"/>
      </rPr>
      <t xml:space="preserve">股长期股息率约</t>
    </r>
    <r>
      <rPr>
        <sz val="9"/>
        <color rgb="FF595959"/>
        <rFont val="Arial"/>
        <family val="0"/>
        <charset val="1"/>
      </rPr>
      <t xml:space="preserve">2%/</t>
    </r>
    <r>
      <rPr>
        <sz val="9"/>
        <color rgb="FF595959"/>
        <rFont val="Noto Sans CJK SC"/>
        <family val="2"/>
      </rPr>
      <t xml:space="preserve">年，叠加后年化≈持平，累计由−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Noto Sans CJK SC"/>
        <family val="2"/>
      </rPr>
      <t xml:space="preserve">变为大致打平</t>
    </r>
  </si>
  <si>
    <r>
      <rPr>
        <sz val="10"/>
        <color rgb="FF000000"/>
        <rFont val="Noto Sans CJK SC"/>
        <family val="2"/>
      </rPr>
      <t xml:space="preserve">上证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价格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从</t>
    </r>
    <r>
      <rPr>
        <sz val="10"/>
        <color rgb="FF000000"/>
        <rFont val="Arial"/>
        <family val="0"/>
        <charset val="1"/>
      </rPr>
      <t xml:space="preserve">2005</t>
    </r>
    <r>
      <rPr>
        <sz val="10"/>
        <color rgb="FF000000"/>
        <rFont val="Noto Sans CJK SC"/>
        <family val="2"/>
      </rPr>
      <t xml:space="preserve">千点底</t>
    </r>
  </si>
  <si>
    <t xml:space="preserve">仅把起点从“最贵的一天”换成“最便宜的一天”，结论完全反转</t>
  </si>
  <si>
    <r>
      <rPr>
        <sz val="10"/>
        <color rgb="FF000000"/>
        <rFont val="Noto Sans CJK SC"/>
        <family val="2"/>
      </rPr>
      <t xml:space="preserve">上证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价格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从</t>
    </r>
    <r>
      <rPr>
        <sz val="10"/>
        <color rgb="FF000000"/>
        <rFont val="Arial"/>
        <family val="0"/>
        <charset val="1"/>
      </rPr>
      <t xml:space="preserve">1990</t>
    </r>
    <r>
      <rPr>
        <sz val="10"/>
        <color rgb="FF000000"/>
        <rFont val="Noto Sans CJK SC"/>
        <family val="2"/>
      </rPr>
      <t xml:space="preserve">上市</t>
    </r>
  </si>
  <si>
    <r>
      <rPr>
        <sz val="9"/>
        <color rgb="FF595959"/>
        <rFont val="Noto Sans CJK SC"/>
        <family val="2"/>
      </rPr>
      <t xml:space="preserve">全程口径，年化约</t>
    </r>
    <r>
      <rPr>
        <sz val="9"/>
        <color rgb="FF595959"/>
        <rFont val="Arial"/>
        <family val="0"/>
        <charset val="1"/>
      </rPr>
      <t xml:space="preserve">+10%</t>
    </r>
  </si>
  <si>
    <t xml:space="preserve">怎样的跨国股指对比才“合理”</t>
  </si>
  <si>
    <t xml:space="preserve">原则</t>
  </si>
  <si>
    <r>
      <rPr>
        <b val="true"/>
        <sz val="10"/>
        <color rgb="FFFFFFFF"/>
        <rFont val="Noto Sans CJK SC"/>
        <family val="2"/>
      </rPr>
      <t xml:space="preserve">为什么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怎么做</t>
    </r>
  </si>
  <si>
    <r>
      <rPr>
        <b val="true"/>
        <sz val="10"/>
        <color rgb="FF000000"/>
        <rFont val="Arial"/>
        <family val="0"/>
        <charset val="1"/>
      </rPr>
      <t xml:space="preserve">1. </t>
    </r>
    <r>
      <rPr>
        <b val="true"/>
        <sz val="10"/>
        <color rgb="FF000000"/>
        <rFont val="Noto Sans CJK SC"/>
        <family val="2"/>
      </rPr>
      <t xml:space="preserve">统一“可比的”基期</t>
    </r>
  </si>
  <si>
    <r>
      <rPr>
        <sz val="10"/>
        <color rgb="FF000000"/>
        <rFont val="Noto Sans CJK SC"/>
        <family val="2"/>
      </rPr>
      <t xml:space="preserve">别钉在某个市场的泡沫顶。</t>
    </r>
    <r>
      <rPr>
        <sz val="10"/>
        <color rgb="FF000000"/>
        <rFont val="Arial"/>
        <family val="0"/>
        <charset val="1"/>
      </rPr>
      <t xml:space="preserve">2007</t>
    </r>
    <r>
      <rPr>
        <sz val="10"/>
        <color rgb="FF000000"/>
        <rFont val="Noto Sans CJK SC"/>
        <family val="2"/>
      </rPr>
      <t xml:space="preserve">对中国是历史大顶，对纳指只是危机前普通高位。最好取多个基期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如</t>
    </r>
    <r>
      <rPr>
        <sz val="10"/>
        <color rgb="FF000000"/>
        <rFont val="Arial"/>
        <family val="0"/>
        <charset val="1"/>
      </rPr>
      <t xml:space="preserve">2005/2010/2015)</t>
    </r>
    <r>
      <rPr>
        <sz val="10"/>
        <color rgb="FF000000"/>
        <rFont val="Noto Sans CJK SC"/>
        <family val="2"/>
      </rPr>
      <t xml:space="preserve">或用足够长的全程，稀释单点敏感性。</t>
    </r>
  </si>
  <si>
    <r>
      <rPr>
        <b val="true"/>
        <sz val="10"/>
        <color rgb="FF000000"/>
        <rFont val="Arial"/>
        <family val="0"/>
        <charset val="1"/>
      </rPr>
      <t xml:space="preserve">2. </t>
    </r>
    <r>
      <rPr>
        <b val="true"/>
        <sz val="10"/>
        <color rgb="FF000000"/>
        <rFont val="Noto Sans CJK SC"/>
        <family val="2"/>
      </rPr>
      <t xml:space="preserve">年化，而非累计</t>
    </r>
  </si>
  <si>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r=(1/n)ln(S_T/S_0) </t>
    </r>
    <r>
      <rPr>
        <sz val="10"/>
        <color rgb="FF000000"/>
        <rFont val="Noto Sans CJK SC"/>
        <family val="2"/>
      </rPr>
      <t xml:space="preserve">年化。连续复利可加、可跨不同时长比较；“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年累计−</t>
    </r>
    <r>
      <rPr>
        <sz val="10"/>
        <color rgb="FF000000"/>
        <rFont val="Arial"/>
        <family val="0"/>
        <charset val="1"/>
      </rPr>
      <t xml:space="preserve">35% vs +500%”</t>
    </r>
    <r>
      <rPr>
        <sz val="10"/>
        <color rgb="FF000000"/>
        <rFont val="Noto Sans CJK SC"/>
        <family val="2"/>
      </rPr>
      <t xml:space="preserve">比“年化−</t>
    </r>
    <r>
      <rPr>
        <sz val="10"/>
        <color rgb="FF000000"/>
        <rFont val="Arial"/>
        <family val="0"/>
        <charset val="1"/>
      </rPr>
      <t xml:space="preserve">2% vs +10%”</t>
    </r>
    <r>
      <rPr>
        <sz val="10"/>
        <color rgb="FF000000"/>
        <rFont val="Noto Sans CJK SC"/>
        <family val="2"/>
      </rPr>
      <t xml:space="preserve">夸张得多。</t>
    </r>
  </si>
  <si>
    <r>
      <rPr>
        <b val="true"/>
        <sz val="10"/>
        <color rgb="FF000000"/>
        <rFont val="Arial"/>
        <family val="0"/>
        <charset val="1"/>
      </rPr>
      <t xml:space="preserve">3. </t>
    </r>
    <r>
      <rPr>
        <b val="true"/>
        <sz val="10"/>
        <color rgb="FF000000"/>
        <rFont val="Noto Sans CJK SC"/>
        <family val="2"/>
      </rPr>
      <t xml:space="preserve">口径统一：全收益 </t>
    </r>
    <r>
      <rPr>
        <b val="true"/>
        <sz val="10"/>
        <color rgb="FF000000"/>
        <rFont val="Arial"/>
        <family val="0"/>
        <charset val="1"/>
      </rPr>
      <t xml:space="preserve">vs </t>
    </r>
    <r>
      <rPr>
        <b val="true"/>
        <sz val="10"/>
        <color rgb="FF000000"/>
        <rFont val="Noto Sans CJK SC"/>
        <family val="2"/>
      </rPr>
      <t xml:space="preserve">价格</t>
    </r>
  </si>
  <si>
    <r>
      <rPr>
        <sz val="10"/>
        <color rgb="FF000000"/>
        <rFont val="Noto Sans CJK SC"/>
        <family val="2"/>
      </rPr>
      <t xml:space="preserve">要么全用价格指数，要么全用含分红的全收益指数。图中德国</t>
    </r>
    <r>
      <rPr>
        <sz val="10"/>
        <color rgb="FF000000"/>
        <rFont val="Arial"/>
        <family val="0"/>
        <charset val="1"/>
      </rPr>
      <t xml:space="preserve">DAX</t>
    </r>
    <r>
      <rPr>
        <sz val="10"/>
        <color rgb="FF000000"/>
        <rFont val="Noto Sans CJK SC"/>
        <family val="2"/>
      </rPr>
      <t xml:space="preserve">是全收益指数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含分红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，混进价格指数里比，先天高一截。</t>
    </r>
  </si>
  <si>
    <r>
      <rPr>
        <b val="true"/>
        <sz val="10"/>
        <color rgb="FF000000"/>
        <rFont val="Arial"/>
        <family val="0"/>
        <charset val="1"/>
      </rPr>
      <t xml:space="preserve">4. </t>
    </r>
    <r>
      <rPr>
        <b val="true"/>
        <sz val="10"/>
        <color rgb="FF000000"/>
        <rFont val="Noto Sans CJK SC"/>
        <family val="2"/>
      </rPr>
      <t xml:space="preserve">货币统一</t>
    </r>
  </si>
  <si>
    <r>
      <rPr>
        <sz val="10"/>
        <color rgb="FF000000"/>
        <rFont val="Noto Sans CJK SC"/>
        <family val="2"/>
      </rPr>
      <t xml:space="preserve">要么全用本币，要么全折成同一货币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如美元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。汇率会改变排序，需注明。</t>
    </r>
  </si>
  <si>
    <r>
      <rPr>
        <b val="true"/>
        <sz val="10"/>
        <color rgb="FF000000"/>
        <rFont val="Arial"/>
        <family val="0"/>
        <charset val="1"/>
      </rPr>
      <t xml:space="preserve">5. </t>
    </r>
    <r>
      <rPr>
        <b val="true"/>
        <sz val="10"/>
        <color rgb="FF000000"/>
        <rFont val="Noto Sans CJK SC"/>
        <family val="2"/>
      </rPr>
      <t xml:space="preserve">成分可比</t>
    </r>
  </si>
  <si>
    <t xml:space="preserve">宽基对宽基。纳指偏科技、上证偏银行能源，行业结构差异本身就解释了大部分差距。</t>
  </si>
  <si>
    <r>
      <rPr>
        <b val="true"/>
        <sz val="10"/>
        <color rgb="FF000000"/>
        <rFont val="Arial"/>
        <family val="0"/>
        <charset val="1"/>
      </rPr>
      <t xml:space="preserve">6. </t>
    </r>
    <r>
      <rPr>
        <b val="true"/>
        <sz val="10"/>
        <color rgb="FF000000"/>
        <rFont val="Noto Sans CJK SC"/>
        <family val="2"/>
      </rPr>
      <t xml:space="preserve">标注估值起点</t>
    </r>
  </si>
  <si>
    <r>
      <rPr>
        <sz val="10"/>
        <color rgb="FF000000"/>
        <rFont val="Arial"/>
        <family val="0"/>
        <charset val="1"/>
      </rPr>
      <t xml:space="preserve">2007</t>
    </r>
    <r>
      <rPr>
        <sz val="10"/>
        <color rgb="FF000000"/>
        <rFont val="Noto Sans CJK SC"/>
        <family val="2"/>
      </rPr>
      <t xml:space="preserve">上证市盈率</t>
    </r>
    <r>
      <rPr>
        <sz val="10"/>
        <color rgb="FF000000"/>
        <rFont val="Arial"/>
        <family val="0"/>
        <charset val="1"/>
      </rPr>
      <t xml:space="preserve">60-70</t>
    </r>
    <r>
      <rPr>
        <sz val="10"/>
        <color rgb="FF000000"/>
        <rFont val="Noto Sans CJK SC"/>
        <family val="2"/>
      </rPr>
      <t xml:space="preserve">倍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现在</t>
    </r>
    <r>
      <rPr>
        <sz val="10"/>
        <color rgb="FF000000"/>
        <rFont val="Arial"/>
        <family val="0"/>
        <charset val="1"/>
      </rPr>
      <t xml:space="preserve">13-15</t>
    </r>
    <r>
      <rPr>
        <sz val="10"/>
        <color rgb="FF000000"/>
        <rFont val="Noto Sans CJK SC"/>
        <family val="2"/>
      </rPr>
      <t xml:space="preserve">倍：很大一部分“跌幅”是估值泡沫回归，而非基本面崩塌。</t>
    </r>
  </si>
  <si>
    <r>
      <rPr>
        <b val="true"/>
        <sz val="10"/>
        <color rgb="FF000000"/>
        <rFont val="Arial"/>
        <family val="0"/>
        <charset val="1"/>
      </rPr>
      <t xml:space="preserve">7. </t>
    </r>
    <r>
      <rPr>
        <b val="true"/>
        <sz val="10"/>
        <color rgb="FF000000"/>
        <rFont val="Noto Sans CJK SC"/>
        <family val="2"/>
      </rPr>
      <t xml:space="preserve">诚实呈现两面</t>
    </r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</si>
  <si>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股长期跑输是真问题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扩容稀释、牛短熊长、治理等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；但也不该用挑过角度的真数据当作客观结论。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</si>
</sst>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"/>
    <numFmt numFmtId="167" formatCode="0.0%"/>
    <numFmt numFmtId="168" formatCode="0.000"/>
    <numFmt numFmtId="169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Noto Sans CJK SC"/>
      <family val="2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Noto Sans CJK SC"/>
      <family val="2"/>
    </font>
    <font>
      <i val="true"/>
      <sz val="10"/>
      <color rgb="FF595959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000000"/>
      <name val="Noto Sans CJK SC"/>
      <family val="2"/>
    </font>
    <font>
      <sz val="10"/>
      <color rgb="FF0000FF"/>
      <name val="Arial"/>
      <family val="0"/>
      <charset val="1"/>
    </font>
    <font>
      <sz val="9"/>
      <color rgb="FF595959"/>
      <name val="Arial"/>
      <family val="0"/>
      <charset val="1"/>
    </font>
    <font>
      <sz val="9"/>
      <color rgb="FF595959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CE4E4"/>
      </patternFill>
    </fill>
    <fill>
      <patternFill patternType="solid">
        <fgColor rgb="FFFCE4E4"/>
        <bgColor rgb="FFF2F2F2"/>
      </patternFill>
    </fill>
    <fill>
      <patternFill patternType="solid">
        <fgColor rgb="FFFFF2CC"/>
        <bgColor rgb="FFFCE4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2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8" min="8" style="0" width="15"/>
  </cols>
  <sheetData>
    <row r="1" customFormat="false" ht="21.6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 t="s">
        <v>3</v>
      </c>
      <c r="B5" s="5" t="n">
        <v>4100</v>
      </c>
      <c r="C5" s="6" t="s">
        <v>4</v>
      </c>
      <c r="D5" s="6"/>
      <c r="E5" s="6"/>
      <c r="F5" s="6"/>
      <c r="G5" s="6"/>
      <c r="H5" s="6"/>
    </row>
    <row r="6" customFormat="false" ht="15" hidden="false" customHeight="false" outlineLevel="0" collapsed="false">
      <c r="A6" s="4" t="s">
        <v>5</v>
      </c>
      <c r="B6" s="7" t="n">
        <v>2026.41</v>
      </c>
      <c r="C6" s="6" t="s">
        <v>6</v>
      </c>
      <c r="D6" s="6"/>
      <c r="E6" s="6"/>
      <c r="F6" s="6"/>
      <c r="G6" s="6"/>
      <c r="H6" s="6"/>
    </row>
    <row r="9" customFormat="false" ht="30" hidden="false" customHeight="true" outlineLevel="0" collapsed="false">
      <c r="A9" s="8" t="s">
        <v>7</v>
      </c>
      <c r="B9" s="8" t="s">
        <v>8</v>
      </c>
      <c r="C9" s="8" t="s">
        <v>9</v>
      </c>
      <c r="D9" s="8" t="s">
        <v>10</v>
      </c>
      <c r="E9" s="8" t="s">
        <v>11</v>
      </c>
      <c r="F9" s="9" t="s">
        <v>12</v>
      </c>
      <c r="G9" s="8" t="s">
        <v>13</v>
      </c>
      <c r="H9" s="9" t="s">
        <v>14</v>
      </c>
    </row>
    <row r="10" customFormat="false" ht="15" hidden="false" customHeight="false" outlineLevel="0" collapsed="false">
      <c r="A10" s="10" t="s">
        <v>15</v>
      </c>
      <c r="B10" s="11" t="n">
        <v>1990.96</v>
      </c>
      <c r="C10" s="12" t="n">
        <v>100</v>
      </c>
      <c r="D10" s="13" t="n">
        <f aca="false">$B$6-B10</f>
        <v>35.45</v>
      </c>
      <c r="E10" s="14" t="n">
        <f aca="false">$B$5/C10-1</f>
        <v>40</v>
      </c>
      <c r="F10" s="15" t="n">
        <f aca="false">LN($B$5/C10)</f>
        <v>3.71357206670431</v>
      </c>
      <c r="G10" s="14" t="n">
        <f aca="false">F10/D10</f>
        <v>0.104755206395044</v>
      </c>
      <c r="H10" s="14" t="n">
        <f aca="false">EXP(G10)-1</f>
        <v>0.110438748777679</v>
      </c>
    </row>
    <row r="11" customFormat="false" ht="15" hidden="false" customHeight="false" outlineLevel="0" collapsed="false">
      <c r="A11" s="16" t="s">
        <v>16</v>
      </c>
      <c r="B11" s="17" t="n">
        <v>2005.43</v>
      </c>
      <c r="C11" s="18" t="n">
        <v>998</v>
      </c>
      <c r="D11" s="19" t="n">
        <f aca="false">$B$6-B11</f>
        <v>20.98</v>
      </c>
      <c r="E11" s="20" t="n">
        <f aca="false">$B$5/C11-1</f>
        <v>3.10821643286573</v>
      </c>
      <c r="F11" s="21" t="n">
        <f aca="false">LN($B$5/C11)</f>
        <v>1.41298897638094</v>
      </c>
      <c r="G11" s="20" t="n">
        <f aca="false">F11/D11</f>
        <v>0.0673493315720178</v>
      </c>
      <c r="H11" s="20" t="n">
        <f aca="false">EXP(G11)-1</f>
        <v>0.0696690820969659</v>
      </c>
    </row>
    <row r="12" customFormat="false" ht="15" hidden="false" customHeight="false" outlineLevel="0" collapsed="false">
      <c r="A12" s="22" t="s">
        <v>17</v>
      </c>
      <c r="B12" s="23" t="n">
        <v>2007.79</v>
      </c>
      <c r="C12" s="24" t="n">
        <v>6124</v>
      </c>
      <c r="D12" s="25" t="n">
        <f aca="false">$B$6-B12</f>
        <v>18.6200000000001</v>
      </c>
      <c r="E12" s="26" t="n">
        <f aca="false">$B$5/C12-1</f>
        <v>-0.330502939255389</v>
      </c>
      <c r="F12" s="27" t="n">
        <f aca="false">LN($B$5/C12)</f>
        <v>-0.401228504085175</v>
      </c>
      <c r="G12" s="26" t="n">
        <f aca="false">F12/D12</f>
        <v>-0.0215482547843809</v>
      </c>
      <c r="H12" s="26" t="n">
        <f aca="false">EXP(G12)-1</f>
        <v>-0.0213177497712757</v>
      </c>
    </row>
    <row r="13" customFormat="false" ht="15" hidden="false" customHeight="false" outlineLevel="0" collapsed="false">
      <c r="A13" s="16" t="s">
        <v>18</v>
      </c>
      <c r="B13" s="17" t="n">
        <v>2008.82</v>
      </c>
      <c r="C13" s="18" t="n">
        <v>1665</v>
      </c>
      <c r="D13" s="19" t="n">
        <f aca="false">$B$6-B13</f>
        <v>17.5900000000001</v>
      </c>
      <c r="E13" s="20" t="n">
        <f aca="false">$B$5/C13-1</f>
        <v>1.46246246246246</v>
      </c>
      <c r="F13" s="21" t="n">
        <f aca="false">LN($B$5/C13)</f>
        <v>0.901161850277855</v>
      </c>
      <c r="G13" s="20" t="n">
        <f aca="false">F13/D13</f>
        <v>0.0512314866559322</v>
      </c>
      <c r="H13" s="20" t="n">
        <f aca="false">EXP(G13)-1</f>
        <v>0.0525665201878318</v>
      </c>
    </row>
    <row r="14" customFormat="false" ht="15" hidden="false" customHeight="false" outlineLevel="0" collapsed="false">
      <c r="A14" s="22" t="s">
        <v>19</v>
      </c>
      <c r="B14" s="23" t="n">
        <v>2015.45</v>
      </c>
      <c r="C14" s="24" t="n">
        <v>5178</v>
      </c>
      <c r="D14" s="25" t="n">
        <f aca="false">$B$6-B14</f>
        <v>10.96</v>
      </c>
      <c r="E14" s="26" t="n">
        <f aca="false">$B$5/C14-1</f>
        <v>-0.208188489764388</v>
      </c>
      <c r="F14" s="27" t="n">
        <f aca="false">LN($B$5/C14)</f>
        <v>-0.233431907619084</v>
      </c>
      <c r="G14" s="26" t="n">
        <f aca="false">F14/D14</f>
        <v>-0.0212985317170696</v>
      </c>
      <c r="H14" s="26" t="n">
        <f aca="false">EXP(G14)-1</f>
        <v>-0.0210733197191845</v>
      </c>
    </row>
    <row r="15" customFormat="false" ht="15" hidden="false" customHeight="false" outlineLevel="0" collapsed="false">
      <c r="A15" s="16" t="s">
        <v>20</v>
      </c>
      <c r="B15" s="17" t="n">
        <v>2016.41</v>
      </c>
      <c r="C15" s="18" t="n">
        <v>2917</v>
      </c>
      <c r="D15" s="19" t="n">
        <f aca="false">$B$6-B15</f>
        <v>10</v>
      </c>
      <c r="E15" s="20" t="n">
        <f aca="false">$B$5/C15-1</f>
        <v>0.405553651011313</v>
      </c>
      <c r="F15" s="21" t="n">
        <f aca="false">LN($B$5/C15)</f>
        <v>0.340431282824678</v>
      </c>
      <c r="G15" s="20" t="n">
        <f aca="false">F15/D15</f>
        <v>0.0340431282824678</v>
      </c>
      <c r="H15" s="20" t="n">
        <f aca="false">EXP(G15)-1</f>
        <v>0.0346292275474764</v>
      </c>
    </row>
    <row r="16" customFormat="false" ht="15" hidden="false" customHeight="false" outlineLevel="0" collapsed="false">
      <c r="A16" s="10" t="s">
        <v>21</v>
      </c>
      <c r="B16" s="11" t="n">
        <v>2021.41</v>
      </c>
      <c r="C16" s="12" t="n">
        <v>3600</v>
      </c>
      <c r="D16" s="13" t="n">
        <f aca="false">$B$6-B16</f>
        <v>5</v>
      </c>
      <c r="E16" s="14" t="n">
        <f aca="false">$B$5/C16-1</f>
        <v>0.138888888888889</v>
      </c>
      <c r="F16" s="15" t="n">
        <f aca="false">LN($B$5/C16)</f>
        <v>0.130053128248198</v>
      </c>
      <c r="G16" s="14" t="n">
        <f aca="false">F16/D16</f>
        <v>0.0260106256496396</v>
      </c>
      <c r="H16" s="14" t="n">
        <f aca="false">EXP(G16)-1</f>
        <v>0.0263518540707108</v>
      </c>
    </row>
    <row r="17" customFormat="false" ht="15" hidden="false" customHeight="false" outlineLevel="0" collapsed="false">
      <c r="A17" s="16" t="s">
        <v>22</v>
      </c>
      <c r="B17" s="17" t="n">
        <v>2025.41</v>
      </c>
      <c r="C17" s="18" t="n">
        <v>3340</v>
      </c>
      <c r="D17" s="19" t="n">
        <f aca="false">$B$6-B17</f>
        <v>1</v>
      </c>
      <c r="E17" s="20" t="n">
        <f aca="false">$B$5/C17-1</f>
        <v>0.227544910179641</v>
      </c>
      <c r="F17" s="21" t="n">
        <f aca="false">LN($B$5/C17)</f>
        <v>0.205016166721653</v>
      </c>
      <c r="G17" s="20" t="n">
        <f aca="false">F17/D17</f>
        <v>0.205016166721653</v>
      </c>
      <c r="H17" s="20" t="n">
        <f aca="false">EXP(G17)-1</f>
        <v>0.227544910179641</v>
      </c>
    </row>
    <row r="19" customFormat="false" ht="15" hidden="false" customHeight="true" outlineLevel="0" collapsed="false">
      <c r="A19" s="28" t="s">
        <v>23</v>
      </c>
      <c r="B19" s="28"/>
      <c r="C19" s="28"/>
      <c r="D19" s="28"/>
      <c r="E19" s="28"/>
      <c r="F19" s="28"/>
      <c r="G19" s="28"/>
      <c r="H19" s="28"/>
    </row>
    <row r="20" customFormat="false" ht="15" hidden="false" customHeight="true" outlineLevel="0" collapsed="false">
      <c r="A20" s="28" t="s">
        <v>24</v>
      </c>
      <c r="B20" s="28"/>
      <c r="C20" s="28"/>
      <c r="D20" s="28"/>
      <c r="E20" s="28"/>
      <c r="F20" s="28"/>
      <c r="G20" s="28"/>
      <c r="H20" s="28"/>
    </row>
    <row r="21" customFormat="false" ht="15" hidden="false" customHeight="true" outlineLevel="0" collapsed="false">
      <c r="A21" s="28" t="s">
        <v>25</v>
      </c>
      <c r="B21" s="28"/>
      <c r="C21" s="28"/>
      <c r="D21" s="28"/>
      <c r="E21" s="28"/>
      <c r="F21" s="28"/>
      <c r="G21" s="28"/>
      <c r="H21" s="28"/>
    </row>
    <row r="22" customFormat="false" ht="15" hidden="false" customHeight="true" outlineLevel="0" collapsed="false">
      <c r="A22" s="28" t="s">
        <v>26</v>
      </c>
      <c r="B22" s="28"/>
      <c r="C22" s="28"/>
      <c r="D22" s="28"/>
      <c r="E22" s="28"/>
      <c r="F22" s="28"/>
      <c r="G22" s="28"/>
      <c r="H22" s="28"/>
    </row>
    <row r="23" customFormat="false" ht="15" hidden="false" customHeight="true" outlineLevel="0" collapsed="false">
      <c r="A23" s="29" t="s">
        <v>27</v>
      </c>
      <c r="B23" s="29"/>
      <c r="C23" s="29"/>
      <c r="D23" s="29"/>
      <c r="E23" s="29"/>
      <c r="F23" s="29"/>
      <c r="G23" s="29"/>
      <c r="H23" s="29"/>
    </row>
  </sheetData>
  <mergeCells count="10">
    <mergeCell ref="A1:H1"/>
    <mergeCell ref="A2:H2"/>
    <mergeCell ref="A4:H4"/>
    <mergeCell ref="C5:H5"/>
    <mergeCell ref="C6:H6"/>
    <mergeCell ref="A19:H19"/>
    <mergeCell ref="A20:H20"/>
    <mergeCell ref="A21:H21"/>
    <mergeCell ref="A22:H22"/>
    <mergeCell ref="A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6"/>
    <col collapsed="false" customWidth="true" hidden="false" outlineLevel="0" max="4" min="4" style="0" width="18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28</v>
      </c>
      <c r="B1" s="1"/>
      <c r="C1" s="1"/>
      <c r="D1" s="1"/>
      <c r="E1" s="1"/>
    </row>
    <row r="2" customFormat="false" ht="15" hidden="false" customHeight="false" outlineLevel="0" collapsed="false">
      <c r="A2" s="2" t="s">
        <v>29</v>
      </c>
      <c r="B2" s="2"/>
      <c r="C2" s="2"/>
      <c r="D2" s="2"/>
      <c r="E2" s="2"/>
    </row>
    <row r="4" customFormat="false" ht="15" hidden="false" customHeight="false" outlineLevel="0" collapsed="false">
      <c r="A4" s="4" t="s">
        <v>30</v>
      </c>
      <c r="B4" s="7" t="n">
        <v>18.6</v>
      </c>
      <c r="C4" s="6" t="s">
        <v>31</v>
      </c>
      <c r="D4" s="6"/>
      <c r="E4" s="6"/>
    </row>
    <row r="6" customFormat="false" ht="18" hidden="false" customHeight="true" outlineLevel="0" collapsed="false">
      <c r="A6" s="8" t="s">
        <v>32</v>
      </c>
      <c r="B6" s="8" t="s">
        <v>33</v>
      </c>
      <c r="C6" s="8" t="s">
        <v>34</v>
      </c>
      <c r="D6" s="8" t="s">
        <v>35</v>
      </c>
      <c r="E6" s="8" t="s">
        <v>36</v>
      </c>
    </row>
    <row r="7" customFormat="false" ht="26.85" hidden="false" customHeight="false" outlineLevel="0" collapsed="false">
      <c r="A7" s="30" t="s">
        <v>37</v>
      </c>
      <c r="B7" s="31" t="n">
        <v>-0.35</v>
      </c>
      <c r="C7" s="26" t="n">
        <f aca="false">LN(1+B7)/$B$4</f>
        <v>-0.0231603718329276</v>
      </c>
      <c r="D7" s="32" t="s">
        <v>38</v>
      </c>
      <c r="E7" s="33" t="s">
        <v>39</v>
      </c>
    </row>
    <row r="8" customFormat="false" ht="15" hidden="false" customHeight="false" outlineLevel="0" collapsed="false">
      <c r="A8" s="10" t="s">
        <v>40</v>
      </c>
      <c r="B8" s="34" t="n">
        <v>5</v>
      </c>
      <c r="C8" s="14" t="n">
        <f aca="false">LN(1+B8)/$B$4</f>
        <v>0.0963311542595728</v>
      </c>
      <c r="D8" s="35" t="s">
        <v>38</v>
      </c>
      <c r="E8" s="36" t="s">
        <v>41</v>
      </c>
    </row>
    <row r="9" customFormat="false" ht="15" hidden="false" customHeight="false" outlineLevel="0" collapsed="false">
      <c r="A9" s="16" t="s">
        <v>42</v>
      </c>
      <c r="B9" s="37" t="n">
        <v>3.9</v>
      </c>
      <c r="C9" s="20" t="n">
        <f aca="false">LN(1+B9)/$B$4</f>
        <v>0.085442752963257</v>
      </c>
      <c r="D9" s="38" t="s">
        <v>38</v>
      </c>
      <c r="E9" s="39" t="s">
        <v>43</v>
      </c>
    </row>
    <row r="10" customFormat="false" ht="15" hidden="false" customHeight="false" outlineLevel="0" collapsed="false">
      <c r="A10" s="10" t="s">
        <v>44</v>
      </c>
      <c r="B10" s="34" t="n">
        <v>2.9</v>
      </c>
      <c r="C10" s="14" t="n">
        <f aca="false">LN(1+B10)/$B$4</f>
        <v>0.0731707824266452</v>
      </c>
      <c r="D10" s="35" t="s">
        <v>38</v>
      </c>
      <c r="E10" s="36" t="s">
        <v>45</v>
      </c>
    </row>
    <row r="11" customFormat="false" ht="15" hidden="false" customHeight="false" outlineLevel="0" collapsed="false">
      <c r="A11" s="16" t="s">
        <v>46</v>
      </c>
      <c r="B11" s="37" t="n">
        <v>1.9</v>
      </c>
      <c r="C11" s="20" t="n">
        <f aca="false">LN(1+B11)/$B$4</f>
        <v>0.0572425127415284</v>
      </c>
      <c r="D11" s="38" t="s">
        <v>38</v>
      </c>
      <c r="E11" s="39" t="s">
        <v>47</v>
      </c>
    </row>
    <row r="12" customFormat="false" ht="15" hidden="false" customHeight="false" outlineLevel="0" collapsed="false">
      <c r="A12" s="40" t="s">
        <v>48</v>
      </c>
      <c r="B12" s="41" t="n">
        <v>2.5</v>
      </c>
      <c r="C12" s="42" t="n">
        <f aca="false">LN(1+B12)/$B$4</f>
        <v>0.0673528477685682</v>
      </c>
      <c r="D12" s="43" t="s">
        <v>49</v>
      </c>
      <c r="E12" s="44" t="s">
        <v>50</v>
      </c>
    </row>
    <row r="13" customFormat="false" ht="15" hidden="false" customHeight="false" outlineLevel="0" collapsed="false">
      <c r="A13" s="16" t="s">
        <v>51</v>
      </c>
      <c r="B13" s="37" t="n">
        <v>1.05</v>
      </c>
      <c r="C13" s="20" t="n">
        <f aca="false">LN(1+B13)/$B$4</f>
        <v>0.0385935372661461</v>
      </c>
      <c r="D13" s="38" t="s">
        <v>38</v>
      </c>
      <c r="E13" s="39" t="s">
        <v>52</v>
      </c>
    </row>
    <row r="14" customFormat="false" ht="15" hidden="false" customHeight="false" outlineLevel="0" collapsed="false">
      <c r="A14" s="10" t="s">
        <v>53</v>
      </c>
      <c r="B14" s="34" t="n">
        <v>1.6</v>
      </c>
      <c r="C14" s="14" t="n">
        <f aca="false">LN(1+B14)/$B$4</f>
        <v>0.0513715830659912</v>
      </c>
      <c r="D14" s="35" t="s">
        <v>38</v>
      </c>
      <c r="E14" s="36" t="s">
        <v>54</v>
      </c>
    </row>
    <row r="15" customFormat="false" ht="15" hidden="false" customHeight="false" outlineLevel="0" collapsed="false">
      <c r="A15" s="16" t="s">
        <v>55</v>
      </c>
      <c r="B15" s="37" t="n">
        <v>2.3</v>
      </c>
      <c r="C15" s="20" t="n">
        <f aca="false">LN(1+B15)/$B$4</f>
        <v>0.0641893800253997</v>
      </c>
      <c r="D15" s="38" t="s">
        <v>38</v>
      </c>
      <c r="E15" s="39" t="s">
        <v>56</v>
      </c>
    </row>
    <row r="16" customFormat="false" ht="15" hidden="false" customHeight="false" outlineLevel="0" collapsed="false">
      <c r="A16" s="10" t="s">
        <v>57</v>
      </c>
      <c r="B16" s="34" t="n">
        <v>2</v>
      </c>
      <c r="C16" s="14" t="n">
        <f aca="false">LN(1+B16)/$B$4</f>
        <v>0.0590651768101134</v>
      </c>
      <c r="D16" s="35" t="s">
        <v>38</v>
      </c>
      <c r="E16" s="36" t="s">
        <v>58</v>
      </c>
    </row>
    <row r="17" customFormat="false" ht="15" hidden="false" customHeight="false" outlineLevel="0" collapsed="false">
      <c r="A17" s="16" t="s">
        <v>59</v>
      </c>
      <c r="B17" s="37" t="n">
        <v>1.75</v>
      </c>
      <c r="C17" s="20" t="n">
        <f aca="false">LN(1+B17)/$B$4</f>
        <v>0.0543871457891656</v>
      </c>
      <c r="D17" s="38" t="s">
        <v>38</v>
      </c>
      <c r="E17" s="39" t="s">
        <v>60</v>
      </c>
    </row>
    <row r="18" customFormat="false" ht="15" hidden="false" customHeight="false" outlineLevel="0" collapsed="false">
      <c r="A18" s="10" t="s">
        <v>61</v>
      </c>
      <c r="B18" s="34" t="n">
        <v>1.5</v>
      </c>
      <c r="C18" s="14" t="n">
        <f aca="false">LN(1+B18)/$B$4</f>
        <v>0.0492629425738793</v>
      </c>
      <c r="D18" s="35" t="s">
        <v>38</v>
      </c>
      <c r="E18" s="36" t="s">
        <v>62</v>
      </c>
    </row>
    <row r="19" customFormat="false" ht="15" hidden="false" customHeight="false" outlineLevel="0" collapsed="false">
      <c r="A19" s="16" t="s">
        <v>63</v>
      </c>
      <c r="B19" s="37" t="n">
        <v>1.35</v>
      </c>
      <c r="C19" s="20" t="n">
        <f aca="false">LN(1+B19)/$B$4</f>
        <v>0.04593630796538</v>
      </c>
      <c r="D19" s="38" t="s">
        <v>38</v>
      </c>
      <c r="E19" s="39" t="s">
        <v>64</v>
      </c>
    </row>
    <row r="20" customFormat="false" ht="15" hidden="false" customHeight="false" outlineLevel="0" collapsed="false">
      <c r="A20" s="10" t="s">
        <v>65</v>
      </c>
      <c r="B20" s="34" t="n">
        <v>1.3</v>
      </c>
      <c r="C20" s="14" t="n">
        <f aca="false">LN(1+B20)/$B$4</f>
        <v>0.044780060372855</v>
      </c>
      <c r="D20" s="35" t="s">
        <v>38</v>
      </c>
      <c r="E20" s="36" t="s">
        <v>66</v>
      </c>
    </row>
    <row r="21" customFormat="false" ht="15" hidden="false" customHeight="false" outlineLevel="0" collapsed="false">
      <c r="A21" s="16" t="s">
        <v>67</v>
      </c>
      <c r="B21" s="37" t="n">
        <v>0.98</v>
      </c>
      <c r="C21" s="20" t="n">
        <f aca="false">LN(1+B21)/$B$4</f>
        <v>0.0367256368121744</v>
      </c>
      <c r="D21" s="38" t="s">
        <v>38</v>
      </c>
      <c r="E21" s="39" t="s">
        <v>68</v>
      </c>
    </row>
    <row r="22" customFormat="false" ht="15" hidden="false" customHeight="false" outlineLevel="0" collapsed="false">
      <c r="A22" s="10" t="s">
        <v>69</v>
      </c>
      <c r="B22" s="34" t="n">
        <v>0.95</v>
      </c>
      <c r="C22" s="14" t="n">
        <f aca="false">LN(1+B22)/$B$4</f>
        <v>0.0359048049771858</v>
      </c>
      <c r="D22" s="35" t="s">
        <v>38</v>
      </c>
      <c r="E22" s="36" t="s">
        <v>70</v>
      </c>
    </row>
    <row r="24" customFormat="false" ht="15" hidden="false" customHeight="false" outlineLevel="0" collapsed="false">
      <c r="A24" s="3" t="s">
        <v>71</v>
      </c>
      <c r="B24" s="3"/>
      <c r="C24" s="3"/>
      <c r="D24" s="3"/>
      <c r="E24" s="3"/>
    </row>
    <row r="25" customFormat="false" ht="15" hidden="false" customHeight="false" outlineLevel="0" collapsed="false">
      <c r="A25" s="8" t="s">
        <v>72</v>
      </c>
      <c r="B25" s="8" t="s">
        <v>11</v>
      </c>
      <c r="C25" s="8" t="s">
        <v>34</v>
      </c>
      <c r="D25" s="45" t="s">
        <v>73</v>
      </c>
      <c r="E25" s="8" t="s">
        <v>74</v>
      </c>
    </row>
    <row r="26" customFormat="false" ht="26.85" hidden="false" customHeight="false" outlineLevel="0" collapsed="false">
      <c r="A26" s="30" t="s">
        <v>75</v>
      </c>
      <c r="B26" s="31" t="n">
        <v>-0.35</v>
      </c>
      <c r="C26" s="26" t="n">
        <f aca="false">LN(1+B26)/$B$4</f>
        <v>-0.0231603718329276</v>
      </c>
      <c r="D26" s="46"/>
      <c r="E26" s="33" t="s">
        <v>76</v>
      </c>
    </row>
    <row r="27" customFormat="false" ht="26.85" hidden="false" customHeight="false" outlineLevel="0" collapsed="false">
      <c r="A27" s="16" t="s">
        <v>77</v>
      </c>
      <c r="B27" s="47" t="n">
        <f aca="false">EXP(C27*$B$4)-1</f>
        <v>-0.0570885621594467</v>
      </c>
      <c r="C27" s="20" t="n">
        <f aca="false">C26+0.02</f>
        <v>-0.00316037183292765</v>
      </c>
      <c r="D27" s="48"/>
      <c r="E27" s="49" t="s">
        <v>78</v>
      </c>
    </row>
    <row r="28" customFormat="false" ht="26.85" hidden="false" customHeight="false" outlineLevel="0" collapsed="false">
      <c r="A28" s="16" t="s">
        <v>79</v>
      </c>
      <c r="B28" s="47" t="n">
        <f aca="false">4100/998-1</f>
        <v>3.10821643286573</v>
      </c>
      <c r="C28" s="20" t="n">
        <f aca="false">LN(1+B28)/(2026.41-2005.43)</f>
        <v>0.0673493315720178</v>
      </c>
      <c r="D28" s="48"/>
      <c r="E28" s="39" t="s">
        <v>80</v>
      </c>
    </row>
    <row r="29" customFormat="false" ht="15" hidden="false" customHeight="false" outlineLevel="0" collapsed="false">
      <c r="A29" s="16" t="s">
        <v>81</v>
      </c>
      <c r="B29" s="47" t="n">
        <f aca="false">4100/100-1</f>
        <v>40</v>
      </c>
      <c r="C29" s="20" t="n">
        <f aca="false">LN(1+B29)/(2026.41-1990.96)</f>
        <v>0.104755206395044</v>
      </c>
      <c r="D29" s="48"/>
      <c r="E29" s="39" t="s">
        <v>82</v>
      </c>
    </row>
  </sheetData>
  <mergeCells count="4">
    <mergeCell ref="A1:E1"/>
    <mergeCell ref="A2:E2"/>
    <mergeCell ref="C4:E4"/>
    <mergeCell ref="A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83</v>
      </c>
      <c r="B1" s="1"/>
      <c r="C1" s="1"/>
    </row>
    <row r="3" customFormat="false" ht="15" hidden="false" customHeight="false" outlineLevel="0" collapsed="false">
      <c r="B3" s="8" t="s">
        <v>84</v>
      </c>
      <c r="C3" s="50" t="s">
        <v>85</v>
      </c>
    </row>
    <row r="4" customFormat="false" ht="45.75" hidden="false" customHeight="true" outlineLevel="0" collapsed="false">
      <c r="B4" s="51" t="s">
        <v>86</v>
      </c>
      <c r="C4" s="52" t="s">
        <v>87</v>
      </c>
    </row>
    <row r="5" customFormat="false" ht="45.75" hidden="false" customHeight="true" outlineLevel="0" collapsed="false">
      <c r="B5" s="53" t="s">
        <v>88</v>
      </c>
      <c r="C5" s="54" t="s">
        <v>89</v>
      </c>
    </row>
    <row r="6" customFormat="false" ht="45.75" hidden="false" customHeight="true" outlineLevel="0" collapsed="false">
      <c r="B6" s="51" t="s">
        <v>90</v>
      </c>
      <c r="C6" s="52" t="s">
        <v>91</v>
      </c>
    </row>
    <row r="7" customFormat="false" ht="45.75" hidden="false" customHeight="true" outlineLevel="0" collapsed="false">
      <c r="B7" s="53" t="s">
        <v>92</v>
      </c>
      <c r="C7" s="54" t="s">
        <v>93</v>
      </c>
    </row>
    <row r="8" customFormat="false" ht="45.75" hidden="false" customHeight="true" outlineLevel="0" collapsed="false">
      <c r="B8" s="51" t="s">
        <v>94</v>
      </c>
      <c r="C8" s="52" t="s">
        <v>95</v>
      </c>
    </row>
    <row r="9" customFormat="false" ht="45.75" hidden="false" customHeight="true" outlineLevel="0" collapsed="false">
      <c r="B9" s="53" t="s">
        <v>96</v>
      </c>
      <c r="C9" s="55" t="s">
        <v>97</v>
      </c>
    </row>
    <row r="10" customFormat="false" ht="45.75" hidden="false" customHeight="true" outlineLevel="0" collapsed="false">
      <c r="B10" s="51" t="s">
        <v>98</v>
      </c>
      <c r="C10" s="56" t="s">
        <v>99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2026-05-30T08:25:27Z</dcterms:created>
  <dc:creator>openpyxl</dc:creator>
  <dc:description/>
  <dc:language>en-US</dc:language>
  <cp:lastModifiedBy/>
  <dcterms:modified xsi:type="dcterms:W3CDTF">2026-05-30T08:25:27Z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